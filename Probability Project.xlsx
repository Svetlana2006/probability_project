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203" sheetId="1" r:id="rId5"/>
  </sheets>
  <definedNames/>
  <calcPr/>
</workbook>
</file>

<file path=xl/sharedStrings.xml><?xml version="1.0" encoding="utf-8"?>
<sst xmlns="http://schemas.openxmlformats.org/spreadsheetml/2006/main" count="96" uniqueCount="79">
  <si>
    <t xml:space="preserve"> </t>
  </si>
  <si>
    <t>Pos</t>
  </si>
  <si>
    <t>P+</t>
  </si>
  <si>
    <t>Artist and Title</t>
  </si>
  <si>
    <t>Days</t>
  </si>
  <si>
    <t>Pk</t>
  </si>
  <si>
    <t>(x?)</t>
  </si>
  <si>
    <t>Streams</t>
  </si>
  <si>
    <t>Streams+</t>
  </si>
  <si>
    <t>7Day</t>
  </si>
  <si>
    <t>7Day+</t>
  </si>
  <si>
    <t>Total</t>
  </si>
  <si>
    <t>"="</t>
  </si>
  <si>
    <r>
      <rPr>
        <rFont val="Verdana, sans-serif"/>
        <color rgb="FF1155CC"/>
        <sz val="9.0"/>
        <u/>
      </rPr>
      <t>Banjaare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Bairan</t>
    </r>
  </si>
  <si>
    <t>(x15)</t>
  </si>
  <si>
    <r>
      <rPr>
        <rFont val="Verdana, sans-serif"/>
        <color rgb="FF1155CC"/>
        <sz val="9.0"/>
        <u/>
      </rPr>
      <t>Mitta Ror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Sheesha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Swara Verma</t>
    </r>
    <r>
      <rPr>
        <rFont val="Verdana, sans-serif"/>
        <sz val="9.0"/>
      </rPr>
      <t>)</t>
    </r>
  </si>
  <si>
    <t>(x17)</t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</si>
  <si>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Gehra Hua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Irshad Kamil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Armaan Khan</t>
    </r>
    <r>
      <rPr>
        <rFont val="Verdana, sans-serif"/>
        <sz val="9.0"/>
      </rPr>
      <t>)</t>
    </r>
  </si>
  <si>
    <t>(x69)</t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</si>
  <si>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Dhurandhar The Revenge - Aari Aari (From "Dhurandhar The Revenge")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Bombay Rockers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Irshad Kamil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Khan Saab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Reble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Token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Jasmine Sandlas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Sudhir Yaduvanshi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</si>
  <si>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Navjot Ahuja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Khat</t>
    </r>
  </si>
  <si>
    <t>(x1)</t>
  </si>
  <si>
    <r>
      <rPr>
        <rFont val="Verdana, sans-serif"/>
        <color rgb="FF1155CC"/>
        <sz val="9.0"/>
        <u/>
      </rPr>
      <t>Paresh Pahuja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Dooron Dooron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Shiv Tandan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Meghdeep Bose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</si>
  <si>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Aditya Rikhari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Sahiba</t>
    </r>
  </si>
  <si>
    <t>(x124)</t>
  </si>
  <si>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Sitaare (From "Ikkis")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White Noise Collectives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Amitabh Bhattacharya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</si>
  <si>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Kushagra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Finding Her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Bharath</t>
    </r>
    <r>
      <rPr>
        <rFont val="Verdana, sans-serif"/>
        <sz val="9.0"/>
      </rPr>
      <t>)</t>
    </r>
  </si>
  <si>
    <t>(x54)</t>
  </si>
  <si>
    <r>
      <rPr>
        <rFont val="Verdana, sans-serif"/>
        <color rgb="FF1155CC"/>
        <sz val="9.0"/>
        <u/>
      </rPr>
      <t>Sachin-Jigar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Apna Bana Le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Amitabh Bhattacharya</t>
    </r>
    <r>
      <rPr>
        <rFont val="Verdana, sans-serif"/>
        <sz val="9.0"/>
      </rPr>
      <t>)</t>
    </r>
  </si>
  <si>
    <t>(x14)</t>
  </si>
  <si>
    <r>
      <rPr>
        <rFont val="Verdana, sans-serif"/>
        <color rgb="FF1155CC"/>
        <sz val="9.0"/>
        <u/>
      </rPr>
      <t>Jawad Ahmad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Samjhawan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Shaarib Toshi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Shreya Ghoshal</t>
    </r>
    <r>
      <rPr>
        <rFont val="Verdana, sans-serif"/>
        <sz val="9.0"/>
      </rPr>
      <t>)</t>
    </r>
  </si>
  <si>
    <t>(x2)</t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</si>
  <si>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Jaiye Sajana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Jasmine Sandlas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Satinder Sartaaj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</si>
  <si>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Shararat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Madhubanti Bagchi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Jasmine Sandlas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</si>
  <si>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Anuv Jain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Arz Kiya Hai | Coke Studio Bharat</t>
    </r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</si>
  <si>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Dhurandhar - Title Track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Hanumankind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Jasmine Sandlas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Sudhir Yaduvanshi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Charanjit Ahuja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Muhammad Sadiq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Ranjit Kaur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Babu Singh Maan</t>
    </r>
    <r>
      <rPr>
        <rFont val="Verdana, sans-serif"/>
        <sz val="9.0"/>
      </rPr>
      <t>)</t>
    </r>
  </si>
  <si>
    <t>(x20)</t>
  </si>
  <si>
    <r>
      <rPr>
        <rFont val="Verdana, sans-serif"/>
        <color rgb="FF1155CC"/>
        <sz val="9.0"/>
        <u/>
      </rPr>
      <t>Karan Aujla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For A Reason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Ikky</t>
    </r>
    <r>
      <rPr>
        <rFont val="Verdana, sans-serif"/>
        <sz val="9.0"/>
      </rPr>
      <t>)</t>
    </r>
  </si>
  <si>
    <t>(x5)</t>
  </si>
  <si>
    <r>
      <rPr>
        <rFont val="Verdana, sans-serif"/>
        <color rgb="FF1155CC"/>
        <sz val="9.0"/>
        <u/>
      </rPr>
      <t>Sai Abhyankkar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Pavazha Malli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Shruti Haasan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Vivek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</si>
  <si>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Jaan Se Guzarte Hain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Khan Saab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</si>
  <si>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Virat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Bairi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Pradeep Solanki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Heena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</si>
  <si>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Tanishk Bagchi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Saiyaara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Faheem Abdullah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Arslan Nizami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Irshad Kamil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</si>
  <si>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Karan Aujla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Boyfriend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Ikky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</si>
  <si>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Faheem Abdullah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Ishq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Rauhan Malik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</si>
  <si>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Sachet-Parampara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Raanjhan (From "Do Patti")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Parampara Tandon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Kausar Munir</t>
    </r>
    <r>
      <rPr>
        <rFont val="Verdana, sans-serif"/>
        <sz val="9.0"/>
      </rPr>
      <t>)</t>
    </r>
  </si>
  <si>
    <t>(x42)</t>
  </si>
  <si>
    <r>
      <rPr>
        <rFont val="Verdana, sans-serif"/>
        <color rgb="FF1155CC"/>
        <sz val="9.0"/>
        <u/>
      </rPr>
      <t>Gajendra Verma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Mann Mera</t>
    </r>
  </si>
  <si>
    <r>
      <rPr>
        <rFont val="Verdana, sans-serif"/>
        <color rgb="FF1155CC"/>
        <sz val="9.0"/>
        <u/>
      </rPr>
      <t>Zeeshan Ali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Ishqa Ve</t>
    </r>
  </si>
  <si>
    <r>
      <rPr>
        <rFont val="Verdana, sans-serif"/>
        <color rgb="FF1155CC"/>
        <sz val="9.0"/>
        <u/>
      </rPr>
      <t>BTS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SWIM</t>
    </r>
  </si>
  <si>
    <r>
      <rPr>
        <rFont val="Verdana, sans-serif"/>
        <color rgb="FF1155CC"/>
        <sz val="9.0"/>
        <u/>
      </rPr>
      <t>Atif Aslam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Tere Liye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Shreya Ghoshal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</si>
  <si>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A.R. Rahman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Deewaana Deewaana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Irshad Kamil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</si>
  <si>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Vishal Mishra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Tum Ho Toh (From "Saiyaara")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Hansika Pareek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Raj Shekhar</t>
    </r>
    <r>
      <rPr>
        <rFont val="Verdana, sans-serif"/>
        <sz val="9.0"/>
      </rPr>
      <t>)</t>
    </r>
  </si>
  <si>
    <t>(x7)</t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</si>
  <si>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Ishq Jalakar - Karvaan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Shahzad Ali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Subhadeep Das Chowdhury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Armaan Khan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Irshad Kamil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Roshan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Sahir Ludhianvi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</si>
  <si>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Anirudh Ravichander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Aaya Sher (From "The Paradise") (Telugu)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Jangi Reddy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Arjun Chandy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Kasarla Shyam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</si>
  <si>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Naal Nachna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Afsana Khan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Irshad Kamil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Reble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</si>
  <si>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Lutt Le Gaya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Simran Choudhary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</si>
  <si>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Anuv Jain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Jo Tum Mere Ho</t>
    </r>
  </si>
  <si>
    <t>(x105)</t>
  </si>
  <si>
    <r>
      <rPr>
        <rFont val="Verdana, sans-serif"/>
        <color rgb="FF1155CC"/>
        <sz val="9.0"/>
        <u/>
      </rPr>
      <t>Alka Yagnik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Agar Tum Saath Ho (From "Tamasha")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</si>
  <si>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Talwiinder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Haseen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NDS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Rippy Grewal</t>
    </r>
    <r>
      <rPr>
        <rFont val="Verdana, sans-serif"/>
        <sz val="9.0"/>
      </rPr>
      <t>)</t>
    </r>
  </si>
  <si>
    <t>(x33)</t>
  </si>
  <si>
    <r>
      <rPr>
        <rFont val="Verdana, sans-serif"/>
        <color rgb="FF1155CC"/>
        <sz val="9.0"/>
        <u/>
      </rPr>
      <t>A.R. Rahman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Tere Bina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Chinmayi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Murtuza Khan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Qadir Khan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Abhishek Bachchan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Aishwarya Rai Bachchan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R. Madhavan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Vidya Balan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Mithun Chakraborty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Arya Babbar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</si>
  <si>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Mithoon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Darkhaast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Sunidhi Chauhan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</si>
  <si>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G. V. Prakash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Mutta Kalakki (From "Youth")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Ken Karunaas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</si>
  <si>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Pritam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Ye Tune Kya Kiya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Javed Bashir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</si>
  <si>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The Rish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Barbaad (From "Saiyaara")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Jubin Nautiyal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</si>
  <si>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ARJN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KALYANI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KDS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FIFTY4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RONN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</si>
  <si>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Dhanda Nyoliwala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Not Guilty</t>
    </r>
  </si>
  <si>
    <r>
      <rPr>
        <rFont val="Verdana, sans-serif"/>
        <color rgb="FF1155CC"/>
        <sz val="9.0"/>
        <u/>
      </rPr>
      <t>BTS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Body to Body</t>
    </r>
  </si>
  <si>
    <r>
      <rPr>
        <rFont val="Verdana, sans-serif"/>
        <color rgb="FF1155CC"/>
        <sz val="9.0"/>
        <u/>
      </rPr>
      <t>AP Dhillon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Thodi Si Daaru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Shreya Ghoshal</t>
    </r>
    <r>
      <rPr>
        <rFont val="Verdana, sans-serif"/>
        <sz val="9.0"/>
      </rPr>
      <t>)</t>
    </r>
  </si>
  <si>
    <t>(x18)</t>
  </si>
  <si>
    <r>
      <rPr>
        <rFont val="Verdana, sans-serif"/>
        <color rgb="FF1155CC"/>
        <sz val="9.0"/>
        <u/>
      </rPr>
      <t>Kailash Kher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Teri Deewani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Paresh Kamath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Naresh Kamath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</si>
  <si>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Shashwat Sachdev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Run Down The City - Monica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Reble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Asha Bhosle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R. D. Burman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Majrooh Sultanpuri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</si>
  <si>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Faheem Abdullah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Ehsaas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Duha Shah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Vaibhav Pani</t>
    </r>
    <r>
      <rPr>
        <rFont val="Verdana, sans-serif"/>
        <sz val="9.0"/>
      </rPr>
      <t xml:space="preserve">, </t>
    </r>
    <r>
      <rPr>
        <rFont val="Verdana, sans-serif"/>
        <color rgb="FF1155CC"/>
        <sz val="9.0"/>
        <u/>
      </rPr>
      <t>Hyder Dar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</si>
  <si>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thiarajxtt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Jogi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Bir</t>
    </r>
    <r>
      <rPr>
        <rFont val="Verdana, sans-serif"/>
        <sz val="9.0"/>
      </rPr>
      <t>)</t>
    </r>
  </si>
  <si>
    <r>
      <rPr>
        <rFont val="Verdana, sans-serif"/>
        <color rgb="FF1155CC"/>
        <sz val="9.0"/>
        <u/>
      </rPr>
      <t>Mithoon</t>
    </r>
    <r>
      <rPr>
        <rFont val="Verdana, sans-serif"/>
        <sz val="9.0"/>
      </rPr>
      <t xml:space="preserve"> - </t>
    </r>
    <r>
      <rPr>
        <rFont val="Verdana, sans-serif"/>
        <color rgb="FF1155CC"/>
        <sz val="9.0"/>
        <u/>
      </rPr>
      <t>Dhun (From "Saiyaara")</t>
    </r>
    <r>
      <rPr>
        <rFont val="Verdana, sans-serif"/>
        <sz val="9.0"/>
      </rPr>
      <t xml:space="preserve"> (w/ </t>
    </r>
    <r>
      <rPr>
        <rFont val="Verdana, sans-serif"/>
        <color rgb="FF1155CC"/>
        <sz val="9.0"/>
        <u/>
      </rPr>
      <t>Arijit Singh</t>
    </r>
    <r>
      <rPr>
        <rFont val="Verdana, sans-serif"/>
        <sz val="9.0"/>
      </rPr>
      <t>)</t>
    </r>
  </si>
  <si>
    <t>(x10)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</si>
</sst>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sz val="9.0"/>
      <color rgb="FF000000"/>
      <name val="Verdana"/>
    </font>
    <font>
      <b/>
      <sz val="7.0"/>
      <color rgb="FF000000"/>
      <name val="Verdana"/>
    </font>
    <font>
      <sz val="9.0"/>
      <color rgb="FF000000"/>
      <name val="Verdana"/>
    </font>
    <font>
      <u/>
      <sz val="9.0"/>
      <color rgb="FF0000FF"/>
      <name val="Verdana"/>
    </font>
    <font>
      <sz val="7.0"/>
      <color rgb="FF000000"/>
      <name val="Verdana"/>
    </font>
    <font>
      <sz val="8.0"/>
      <color rgb="FF333333"/>
      <name val="Verdana"/>
    </font>
  </fonts>
  <fills count="4">
    <fill>
      <patternFill patternType="none"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shrinkToFit="0" wrapText="0"/>
    </xf>
    <xf borderId="0" fillId="0" fontId="2" numFmtId="0" xfId="0" applyAlignment="1" applyFont="1">
      <alignment horizontal="left" readingOrder="0" shrinkToFit="0" wrapText="0"/>
    </xf>
    <xf borderId="0" fillId="0" fontId="3" numFmtId="0" xfId="0" applyAlignment="1" applyFont="1">
      <alignment horizontal="left" readingOrder="0" shrinkToFit="0" wrapText="0"/>
    </xf>
    <xf borderId="0" fillId="2" fontId="4" numFmtId="0" xfId="0" applyAlignment="1" applyFill="1" applyFont="1">
      <alignment horizontal="right" readingOrder="0" shrinkToFit="0" wrapText="0"/>
    </xf>
    <xf borderId="0" fillId="0" fontId="5" numFmtId="0" xfId="0" applyAlignment="1" applyFont="1">
      <alignment horizontal="left" readingOrder="0" shrinkToFit="0" wrapText="1"/>
    </xf>
    <xf borderId="0" fillId="2" fontId="6" numFmtId="0" xfId="0" applyAlignment="1" applyFont="1">
      <alignment horizontal="left" readingOrder="0" shrinkToFit="0" wrapText="0"/>
    </xf>
    <xf borderId="0" fillId="2" fontId="4" numFmtId="3" xfId="0" applyAlignment="1" applyFont="1" applyNumberFormat="1">
      <alignment horizontal="right" readingOrder="0" shrinkToFit="0" wrapText="0"/>
    </xf>
    <xf borderId="0" fillId="2" fontId="7" numFmtId="3" xfId="0" applyAlignment="1" applyFont="1" applyNumberFormat="1">
      <alignment horizontal="right" readingOrder="0" shrinkToFit="0" wrapText="0"/>
    </xf>
    <xf borderId="0" fillId="2" fontId="7" numFmtId="0" xfId="0" applyAlignment="1" applyFont="1">
      <alignment horizontal="right" shrinkToFit="0" wrapText="0"/>
    </xf>
    <xf borderId="0" fillId="3" fontId="4" numFmtId="0" xfId="0" applyAlignment="1" applyFill="1" applyFont="1">
      <alignment horizontal="right" readingOrder="0" shrinkToFit="0" wrapText="0"/>
    </xf>
    <xf borderId="0" fillId="3" fontId="6" numFmtId="0" xfId="0" applyAlignment="1" applyFont="1">
      <alignment horizontal="left" readingOrder="0" shrinkToFit="0" wrapText="0"/>
    </xf>
    <xf borderId="0" fillId="3" fontId="4" numFmtId="3" xfId="0" applyAlignment="1" applyFont="1" applyNumberFormat="1">
      <alignment horizontal="right" readingOrder="0" shrinkToFit="0" wrapText="0"/>
    </xf>
    <xf borderId="0" fillId="3" fontId="7" numFmtId="3" xfId="0" applyAlignment="1" applyFont="1" applyNumberFormat="1">
      <alignment horizontal="right" readingOrder="0" shrinkToFit="0" wrapText="0"/>
    </xf>
    <xf borderId="0" fillId="3" fontId="7" numFmtId="0" xfId="0" applyAlignment="1" applyFont="1">
      <alignment horizontal="right" shrinkToFit="0" wrapText="0"/>
    </xf>
    <xf borderId="0" fillId="2" fontId="4" numFmtId="0" xfId="0" applyAlignment="1" applyFont="1">
      <alignment horizontal="right" shrinkToFit="0" wrapText="0"/>
    </xf>
    <xf borderId="0" fillId="3" fontId="6" numFmtId="0" xfId="0" applyAlignment="1" applyFont="1">
      <alignment horizontal="left" shrinkToFit="0" wrapText="0"/>
    </xf>
    <xf borderId="0" fillId="3" fontId="4" numFmtId="0" xfId="0" applyAlignment="1" applyFont="1">
      <alignment horizontal="right" shrinkToFit="0" wrapText="0"/>
    </xf>
    <xf borderId="0" fillId="3" fontId="2" numFmtId="0" xfId="0" applyAlignment="1" applyFont="1">
      <alignment horizontal="right" readingOrder="0" shrinkToFit="0" wrapText="0"/>
    </xf>
    <xf borderId="0" fillId="3" fontId="3" numFmtId="0" xfId="0" applyAlignment="1" applyFont="1">
      <alignment horizontal="left" shrinkToFit="0" wrapText="0"/>
    </xf>
    <xf borderId="0" fillId="2" fontId="6" numFmtId="0" xfId="0" applyAlignment="1" applyFont="1">
      <alignment horizontal="left" shrinkToFit="0" wrapText="0"/>
    </xf>
    <xf borderId="0" fillId="2" fontId="7" numFmtId="0" xfId="0" applyAlignment="1" applyFont="1">
      <alignment horizontal="right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kworb.net/spotify/artist/1wRPtKGflJrBx9BmLsSwlU.html" TargetMode="External"/><Relationship Id="rId42" Type="http://schemas.openxmlformats.org/officeDocument/2006/relationships/hyperlink" Target="https://kworb.net/spotify/artist/5j2JTk8JqepIgv1zxYOuIi.html" TargetMode="External"/><Relationship Id="rId41" Type="http://schemas.openxmlformats.org/officeDocument/2006/relationships/hyperlink" Target="https://kworb.net/spotify/artist/0Eb38FY9vOjiRA10iXPGHI.html" TargetMode="External"/><Relationship Id="rId44" Type="http://schemas.openxmlformats.org/officeDocument/2006/relationships/hyperlink" Target="https://kworb.net/spotify/artist/3Nrfpe0tUJi4K4DXYWgMUX.html" TargetMode="External"/><Relationship Id="rId43" Type="http://schemas.openxmlformats.org/officeDocument/2006/relationships/hyperlink" Target="https://kworb.net/spotify/artist/2rN8LHqK4TBI7y3d9POvJb.html" TargetMode="External"/><Relationship Id="rId46" Type="http://schemas.openxmlformats.org/officeDocument/2006/relationships/hyperlink" Target="https://kworb.net/spotify/artist/4oVMLzAqW6qhRpZWt8fNw4.html" TargetMode="External"/><Relationship Id="rId45" Type="http://schemas.openxmlformats.org/officeDocument/2006/relationships/hyperlink" Target="https://kworb.net/spotify/artist/6LEG9Ld1aLImEFEVHdWNSB.html" TargetMode="External"/><Relationship Id="rId1" Type="http://schemas.openxmlformats.org/officeDocument/2006/relationships/hyperlink" Target="https://kworb.net/spotify/artist/7IbxsPdlYelceWNyHAor55.html" TargetMode="External"/><Relationship Id="rId2" Type="http://schemas.openxmlformats.org/officeDocument/2006/relationships/hyperlink" Target="https://kworb.net/spotify/artist/3qWCWW0lyHpnj6E1cYwtKV.html" TargetMode="External"/><Relationship Id="rId3" Type="http://schemas.openxmlformats.org/officeDocument/2006/relationships/hyperlink" Target="https://kworb.net/spotify/artist/465OXuCU8YZNmVG1leLwQ9.html" TargetMode="External"/><Relationship Id="rId4" Type="http://schemas.openxmlformats.org/officeDocument/2006/relationships/hyperlink" Target="https://kworb.net/spotify/artist/465OXuCU8YZNmVG1leLwQ9.html" TargetMode="External"/><Relationship Id="rId9" Type="http://schemas.openxmlformats.org/officeDocument/2006/relationships/hyperlink" Target="https://kworb.net/spotify/artist/2IKfr1JgPRXmXKAWwrABc6.html" TargetMode="External"/><Relationship Id="rId48" Type="http://schemas.openxmlformats.org/officeDocument/2006/relationships/hyperlink" Target="https://kworb.net/spotify/artist/05etL4pzWd6TSv1x5WrlG3.html" TargetMode="External"/><Relationship Id="rId47" Type="http://schemas.openxmlformats.org/officeDocument/2006/relationships/hyperlink" Target="https://kworb.net/spotify/artist/465OXuCU8YZNmVG1leLwQ9.html" TargetMode="External"/><Relationship Id="rId49" Type="http://schemas.openxmlformats.org/officeDocument/2006/relationships/hyperlink" Target="https://kworb.net/spotify/artist/54BjV0qctcWp8xOip7uaJD.html" TargetMode="External"/><Relationship Id="rId5" Type="http://schemas.openxmlformats.org/officeDocument/2006/relationships/hyperlink" Target="https://kworb.net/spotify/artist/7pVf872VEuJQBwiuRFSg4w.html" TargetMode="External"/><Relationship Id="rId6" Type="http://schemas.openxmlformats.org/officeDocument/2006/relationships/hyperlink" Target="https://kworb.net/spotify/artist/0DHOOKfXu4aU7LsWjTdrIN.html" TargetMode="External"/><Relationship Id="rId7" Type="http://schemas.openxmlformats.org/officeDocument/2006/relationships/hyperlink" Target="https://kworb.net/spotify/artist/3ozYqVCLohfpXIhalkhM8D.html" TargetMode="External"/><Relationship Id="rId8" Type="http://schemas.openxmlformats.org/officeDocument/2006/relationships/hyperlink" Target="https://kworb.net/spotify/artist/4YRxDV8wJFPHPTeXepOstw.html" TargetMode="External"/><Relationship Id="rId31" Type="http://schemas.openxmlformats.org/officeDocument/2006/relationships/hyperlink" Target="https://kworb.net/spotify/artist/4zCH9qm4R2DADamUHMCa6O.html" TargetMode="External"/><Relationship Id="rId30" Type="http://schemas.openxmlformats.org/officeDocument/2006/relationships/hyperlink" Target="https://kworb.net/spotify/artist/465OXuCU8YZNmVG1leLwQ9.html" TargetMode="External"/><Relationship Id="rId33" Type="http://schemas.openxmlformats.org/officeDocument/2006/relationships/hyperlink" Target="https://kworb.net/spotify/artist/465OXuCU8YZNmVG1leLwQ9.html" TargetMode="External"/><Relationship Id="rId32" Type="http://schemas.openxmlformats.org/officeDocument/2006/relationships/hyperlink" Target="https://kworb.net/spotify/artist/465OXuCU8YZNmVG1leLwQ9.html" TargetMode="External"/><Relationship Id="rId35" Type="http://schemas.openxmlformats.org/officeDocument/2006/relationships/hyperlink" Target="https://kworb.net/spotify/artist/3gBKY0y3dFFVRqicLnVZYz.html" TargetMode="External"/><Relationship Id="rId34" Type="http://schemas.openxmlformats.org/officeDocument/2006/relationships/hyperlink" Target="https://kworb.net/spotify/artist/4gdMJYnopf2nEUcanAwstx.html" TargetMode="External"/><Relationship Id="rId37" Type="http://schemas.openxmlformats.org/officeDocument/2006/relationships/hyperlink" Target="https://kworb.net/spotify/artist/1mYsTxnqsietFxj1OgoGbG.html" TargetMode="External"/><Relationship Id="rId36" Type="http://schemas.openxmlformats.org/officeDocument/2006/relationships/hyperlink" Target="https://kworb.net/spotify/artist/6QoCrBHsojKnOrsGNfRcTN.html" TargetMode="External"/><Relationship Id="rId39" Type="http://schemas.openxmlformats.org/officeDocument/2006/relationships/hyperlink" Target="https://kworb.net/spotify/artist/5VVN3xZw1i2qihfITZlvCZ.html" TargetMode="External"/><Relationship Id="rId38" Type="http://schemas.openxmlformats.org/officeDocument/2006/relationships/hyperlink" Target="https://kworb.net/spotify/artist/09UmIX92EUH9hAK4bxvHx6.html" TargetMode="External"/><Relationship Id="rId20" Type="http://schemas.openxmlformats.org/officeDocument/2006/relationships/hyperlink" Target="https://kworb.net/spotify/artist/4f7KfxeHq9BiylGmyXepGt.html" TargetMode="External"/><Relationship Id="rId22" Type="http://schemas.openxmlformats.org/officeDocument/2006/relationships/hyperlink" Target="https://kworb.net/spotify/artist/05etL4pzWd6TSv1x5WrlG3.html" TargetMode="External"/><Relationship Id="rId21" Type="http://schemas.openxmlformats.org/officeDocument/2006/relationships/hyperlink" Target="https://kworb.net/spotify/artist/6DARBhWbfcS9E4yJzcliqQ.html" TargetMode="External"/><Relationship Id="rId24" Type="http://schemas.openxmlformats.org/officeDocument/2006/relationships/hyperlink" Target="https://kworb.net/spotify/artist/1yzgJmZf5CxtFfGfRFm4Si.html" TargetMode="External"/><Relationship Id="rId23" Type="http://schemas.openxmlformats.org/officeDocument/2006/relationships/hyperlink" Target="https://kworb.net/spotify/artist/1SyKki7JI1AZNKwgNMkn25.html" TargetMode="External"/><Relationship Id="rId26" Type="http://schemas.openxmlformats.org/officeDocument/2006/relationships/hyperlink" Target="https://kworb.net/spotify/artist/3Nrfpe0tUJi4K4DXYWgMUX.html" TargetMode="External"/><Relationship Id="rId25" Type="http://schemas.openxmlformats.org/officeDocument/2006/relationships/hyperlink" Target="https://kworb.net/spotify/artist/1Bz46nDCMO1UOKp9GJjL92.html" TargetMode="External"/><Relationship Id="rId28" Type="http://schemas.openxmlformats.org/officeDocument/2006/relationships/hyperlink" Target="https://kworb.net/spotify/artist/1mYsTxnqsietFxj1OgoGbG.html" TargetMode="External"/><Relationship Id="rId27" Type="http://schemas.openxmlformats.org/officeDocument/2006/relationships/hyperlink" Target="https://kworb.net/spotify/artist/2oSONSC9zQ4UonDKnLqksx.html" TargetMode="External"/><Relationship Id="rId29" Type="http://schemas.openxmlformats.org/officeDocument/2006/relationships/hyperlink" Target="https://kworb.net/spotify/artist/5wJ1H6ud777odtZl5gG507.html" TargetMode="External"/><Relationship Id="rId51" Type="http://schemas.openxmlformats.org/officeDocument/2006/relationships/drawing" Target="../drawings/drawing1.xml"/><Relationship Id="rId50" Type="http://schemas.openxmlformats.org/officeDocument/2006/relationships/hyperlink" Target="https://kworb.net/spotify/artist/09UmIX92EUH9hAK4bxvHx6.html" TargetMode="External"/><Relationship Id="rId11" Type="http://schemas.openxmlformats.org/officeDocument/2006/relationships/hyperlink" Target="https://kworb.net/spotify/artist/2gXOOKY8mmJG6iwHrTq9gp.html" TargetMode="External"/><Relationship Id="rId10" Type="http://schemas.openxmlformats.org/officeDocument/2006/relationships/hyperlink" Target="https://kworb.net/spotify/artist/1mBydYMVBECdDmMfE2sEUO.html" TargetMode="External"/><Relationship Id="rId13" Type="http://schemas.openxmlformats.org/officeDocument/2006/relationships/hyperlink" Target="https://kworb.net/spotify/artist/465OXuCU8YZNmVG1leLwQ9.html" TargetMode="External"/><Relationship Id="rId12" Type="http://schemas.openxmlformats.org/officeDocument/2006/relationships/hyperlink" Target="https://kworb.net/spotify/artist/465OXuCU8YZNmVG1leLwQ9.html" TargetMode="External"/><Relationship Id="rId15" Type="http://schemas.openxmlformats.org/officeDocument/2006/relationships/hyperlink" Target="https://kworb.net/spotify/artist/465OXuCU8YZNmVG1leLwQ9.html" TargetMode="External"/><Relationship Id="rId14" Type="http://schemas.openxmlformats.org/officeDocument/2006/relationships/hyperlink" Target="https://kworb.net/spotify/artist/4gdMJYnopf2nEUcanAwstx.html" TargetMode="External"/><Relationship Id="rId17" Type="http://schemas.openxmlformats.org/officeDocument/2006/relationships/hyperlink" Target="https://kworb.net/spotify/artist/5jJrJU7VVmxQQLcLAmmxXc.html" TargetMode="External"/><Relationship Id="rId16" Type="http://schemas.openxmlformats.org/officeDocument/2006/relationships/hyperlink" Target="https://kworb.net/spotify/artist/6DARBhWbfcS9E4yJzcliqQ.html" TargetMode="External"/><Relationship Id="rId19" Type="http://schemas.openxmlformats.org/officeDocument/2006/relationships/hyperlink" Target="https://kworb.net/spotify/artist/3uHCE9eimH5dJx7TLslsmE.html" TargetMode="External"/><Relationship Id="rId18" Type="http://schemas.openxmlformats.org/officeDocument/2006/relationships/hyperlink" Target="https://kworb.net/spotify/artist/465OXuCU8YZNmVG1leLwQ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5"/>
    <col customWidth="1" min="3" max="3" width="39.6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3</v>
      </c>
      <c r="D2" s="2" t="s">
        <v>4</v>
      </c>
      <c r="E2" s="2" t="s">
        <v>5</v>
      </c>
      <c r="F2" s="4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>
      <c r="A3" s="5">
        <v>1.0</v>
      </c>
      <c r="B3" s="5" t="s">
        <v>12</v>
      </c>
      <c r="C3" s="6" t="s">
        <v>13</v>
      </c>
      <c r="D3" s="5">
        <v>25.0</v>
      </c>
      <c r="E3" s="5">
        <v>1.0</v>
      </c>
      <c r="F3" s="7" t="s">
        <v>14</v>
      </c>
      <c r="G3" s="8">
        <v>2205535.0</v>
      </c>
      <c r="H3" s="8">
        <v>-169609.0</v>
      </c>
      <c r="I3" s="9">
        <v>1.5598526E7</v>
      </c>
      <c r="J3" s="10">
        <f>+232461</f>
        <v>232461</v>
      </c>
      <c r="K3" s="8">
        <v>3.2261663E7</v>
      </c>
    </row>
    <row r="4">
      <c r="A4" s="11">
        <v>2.0</v>
      </c>
      <c r="B4" s="5" t="s">
        <v>12</v>
      </c>
      <c r="C4" s="6" t="s">
        <v>15</v>
      </c>
      <c r="D4" s="11">
        <v>64.0</v>
      </c>
      <c r="E4" s="11">
        <v>2.0</v>
      </c>
      <c r="F4" s="12" t="s">
        <v>16</v>
      </c>
      <c r="G4" s="13">
        <v>1184623.0</v>
      </c>
      <c r="H4" s="13">
        <v>-22141.0</v>
      </c>
      <c r="I4" s="14">
        <v>8383155.0</v>
      </c>
      <c r="J4" s="15">
        <f>+60778</f>
        <v>60778</v>
      </c>
      <c r="K4" s="13">
        <v>3.9785061E7</v>
      </c>
    </row>
    <row r="5">
      <c r="A5" s="5">
        <v>3.0</v>
      </c>
      <c r="B5" s="5" t="s">
        <v>12</v>
      </c>
      <c r="C5" s="6" t="s">
        <v>17</v>
      </c>
      <c r="D5" s="5">
        <v>107.0</v>
      </c>
      <c r="E5" s="5">
        <v>1.0</v>
      </c>
      <c r="F5" s="7" t="s">
        <v>18</v>
      </c>
      <c r="G5" s="8">
        <v>1125136.0</v>
      </c>
      <c r="H5" s="16">
        <f>+49404</f>
        <v>49404</v>
      </c>
      <c r="I5" s="9">
        <v>6978049.0</v>
      </c>
      <c r="J5" s="10">
        <f>+191722</f>
        <v>191722</v>
      </c>
      <c r="K5" s="8">
        <v>1.21056887E8</v>
      </c>
    </row>
    <row r="6">
      <c r="A6" s="11">
        <v>4.0</v>
      </c>
      <c r="B6" s="5" t="s">
        <v>12</v>
      </c>
      <c r="C6" s="6" t="s">
        <v>19</v>
      </c>
      <c r="D6" s="11">
        <v>11.0</v>
      </c>
      <c r="E6" s="11">
        <v>4.0</v>
      </c>
      <c r="F6" s="17"/>
      <c r="G6" s="13">
        <v>1040400.0</v>
      </c>
      <c r="H6" s="18">
        <f>+27281</f>
        <v>27281</v>
      </c>
      <c r="I6" s="14">
        <v>4845548.0</v>
      </c>
      <c r="J6" s="15">
        <f>+778785</f>
        <v>778785</v>
      </c>
      <c r="K6" s="13">
        <v>5925171.0</v>
      </c>
    </row>
    <row r="7">
      <c r="A7" s="5">
        <v>5.0</v>
      </c>
      <c r="B7" s="5" t="s">
        <v>12</v>
      </c>
      <c r="C7" s="6" t="s">
        <v>20</v>
      </c>
      <c r="D7" s="5">
        <v>66.0</v>
      </c>
      <c r="E7" s="5">
        <v>3.0</v>
      </c>
      <c r="F7" s="7" t="s">
        <v>21</v>
      </c>
      <c r="G7" s="8">
        <v>815041.0</v>
      </c>
      <c r="H7" s="8">
        <v>-27062.0</v>
      </c>
      <c r="I7" s="9">
        <v>5771596.0</v>
      </c>
      <c r="J7" s="10">
        <f>+60757</f>
        <v>60757</v>
      </c>
      <c r="K7" s="8">
        <v>3.9548631E7</v>
      </c>
    </row>
    <row r="8">
      <c r="A8" s="11">
        <v>6.0</v>
      </c>
      <c r="B8" s="5" t="s">
        <v>12</v>
      </c>
      <c r="C8" s="6" t="s">
        <v>22</v>
      </c>
      <c r="D8" s="11">
        <v>171.0</v>
      </c>
      <c r="E8" s="11">
        <v>2.0</v>
      </c>
      <c r="F8" s="12" t="s">
        <v>21</v>
      </c>
      <c r="G8" s="13">
        <v>782061.0</v>
      </c>
      <c r="H8" s="18">
        <f>+14547</f>
        <v>14547</v>
      </c>
      <c r="I8" s="14">
        <v>5676656.0</v>
      </c>
      <c r="J8" s="15">
        <f>+21410</f>
        <v>21410</v>
      </c>
      <c r="K8" s="13">
        <v>1.07275216E8</v>
      </c>
    </row>
    <row r="9">
      <c r="A9" s="5">
        <v>7.0</v>
      </c>
      <c r="B9" s="5" t="s">
        <v>12</v>
      </c>
      <c r="C9" s="6" t="s">
        <v>23</v>
      </c>
      <c r="D9" s="5">
        <v>264.0</v>
      </c>
      <c r="E9" s="5">
        <v>1.0</v>
      </c>
      <c r="F9" s="7" t="s">
        <v>24</v>
      </c>
      <c r="G9" s="8">
        <v>764965.0</v>
      </c>
      <c r="H9" s="16">
        <f>+14239</f>
        <v>14239</v>
      </c>
      <c r="I9" s="9">
        <v>5337792.0</v>
      </c>
      <c r="J9" s="9">
        <v>-28887.0</v>
      </c>
      <c r="K9" s="8">
        <v>3.64861949E8</v>
      </c>
    </row>
    <row r="10">
      <c r="A10" s="11">
        <v>8.0</v>
      </c>
      <c r="B10" s="5" t="s">
        <v>12</v>
      </c>
      <c r="C10" s="6" t="s">
        <v>25</v>
      </c>
      <c r="D10" s="11">
        <v>107.0</v>
      </c>
      <c r="E10" s="11">
        <v>6.0</v>
      </c>
      <c r="F10" s="17"/>
      <c r="G10" s="13">
        <v>744749.0</v>
      </c>
      <c r="H10" s="18">
        <f>+6528</f>
        <v>6528</v>
      </c>
      <c r="I10" s="14">
        <v>5098605.0</v>
      </c>
      <c r="J10" s="15">
        <f>+49727</f>
        <v>49727</v>
      </c>
      <c r="K10" s="13">
        <v>5.8285971E7</v>
      </c>
    </row>
    <row r="11">
      <c r="A11" s="5">
        <v>9.0</v>
      </c>
      <c r="B11" s="16">
        <f t="shared" ref="B11:B12" si="1">+1</f>
        <v>1</v>
      </c>
      <c r="C11" s="6" t="s">
        <v>26</v>
      </c>
      <c r="D11" s="5">
        <v>383.0</v>
      </c>
      <c r="E11" s="5">
        <v>1.0</v>
      </c>
      <c r="F11" s="7" t="s">
        <v>27</v>
      </c>
      <c r="G11" s="8">
        <v>706578.0</v>
      </c>
      <c r="H11" s="16">
        <f>+36029</f>
        <v>36029</v>
      </c>
      <c r="I11" s="9">
        <v>4651679.0</v>
      </c>
      <c r="J11" s="10">
        <f>+71970</f>
        <v>71970</v>
      </c>
      <c r="K11" s="8">
        <v>3.42811801E8</v>
      </c>
    </row>
    <row r="12">
      <c r="A12" s="11">
        <v>10.0</v>
      </c>
      <c r="B12" s="18">
        <f t="shared" si="1"/>
        <v>1</v>
      </c>
      <c r="C12" s="6" t="s">
        <v>28</v>
      </c>
      <c r="D12" s="11">
        <v>872.0</v>
      </c>
      <c r="E12" s="11">
        <v>1.0</v>
      </c>
      <c r="F12" s="12" t="s">
        <v>29</v>
      </c>
      <c r="G12" s="13">
        <v>702589.0</v>
      </c>
      <c r="H12" s="18">
        <f>+46589</f>
        <v>46589</v>
      </c>
      <c r="I12" s="14">
        <v>4569034.0</v>
      </c>
      <c r="J12" s="15">
        <f>+68658</f>
        <v>68658</v>
      </c>
      <c r="K12" s="13">
        <v>4.74244487E8</v>
      </c>
    </row>
    <row r="13">
      <c r="A13" s="5">
        <v>11.0</v>
      </c>
      <c r="B13" s="5">
        <v>-2.0</v>
      </c>
      <c r="C13" s="6" t="s">
        <v>30</v>
      </c>
      <c r="D13" s="5">
        <v>1636.0</v>
      </c>
      <c r="E13" s="5">
        <v>2.0</v>
      </c>
      <c r="F13" s="7" t="s">
        <v>31</v>
      </c>
      <c r="G13" s="8">
        <v>695852.0</v>
      </c>
      <c r="H13" s="8">
        <v>-11700.0</v>
      </c>
      <c r="I13" s="9">
        <v>4968995.0</v>
      </c>
      <c r="J13" s="9">
        <v>-42003.0</v>
      </c>
      <c r="K13" s="8">
        <v>2.41269827E8</v>
      </c>
    </row>
    <row r="14">
      <c r="A14" s="11">
        <v>12.0</v>
      </c>
      <c r="B14" s="18">
        <f>+16</f>
        <v>16</v>
      </c>
      <c r="C14" s="6" t="s">
        <v>32</v>
      </c>
      <c r="D14" s="11">
        <v>3.0</v>
      </c>
      <c r="E14" s="19">
        <v>12.0</v>
      </c>
      <c r="F14" s="20"/>
      <c r="G14" s="13">
        <v>675646.0</v>
      </c>
      <c r="H14" s="18">
        <f>+222106</f>
        <v>222106</v>
      </c>
      <c r="I14" s="14">
        <v>1432562.0</v>
      </c>
      <c r="J14" s="15">
        <f>+675646</f>
        <v>675646</v>
      </c>
      <c r="K14" s="13">
        <v>1432562.0</v>
      </c>
    </row>
    <row r="15">
      <c r="A15" s="5">
        <v>13.0</v>
      </c>
      <c r="B15" s="5">
        <v>-1.0</v>
      </c>
      <c r="C15" s="6" t="s">
        <v>33</v>
      </c>
      <c r="D15" s="5">
        <v>104.0</v>
      </c>
      <c r="E15" s="5">
        <v>5.0</v>
      </c>
      <c r="F15" s="21"/>
      <c r="G15" s="8">
        <v>664936.0</v>
      </c>
      <c r="H15" s="16">
        <f>+16145</f>
        <v>16145</v>
      </c>
      <c r="I15" s="9">
        <v>4284919.0</v>
      </c>
      <c r="J15" s="10">
        <f>+13059</f>
        <v>13059</v>
      </c>
      <c r="K15" s="8">
        <v>6.9400136E7</v>
      </c>
    </row>
    <row r="16">
      <c r="A16" s="11">
        <v>14.0</v>
      </c>
      <c r="B16" s="5" t="s">
        <v>12</v>
      </c>
      <c r="C16" s="6" t="s">
        <v>34</v>
      </c>
      <c r="D16" s="11">
        <v>210.0</v>
      </c>
      <c r="E16" s="11">
        <v>4.0</v>
      </c>
      <c r="F16" s="17"/>
      <c r="G16" s="13">
        <v>627840.0</v>
      </c>
      <c r="H16" s="18">
        <f>+11945</f>
        <v>11945</v>
      </c>
      <c r="I16" s="14">
        <v>4317190.0</v>
      </c>
      <c r="J16" s="15">
        <f>+10002</f>
        <v>10002</v>
      </c>
      <c r="K16" s="13">
        <v>1.36568948E8</v>
      </c>
    </row>
    <row r="17">
      <c r="A17" s="5">
        <v>15.0</v>
      </c>
      <c r="B17" s="5">
        <v>-2.0</v>
      </c>
      <c r="C17" s="6" t="s">
        <v>35</v>
      </c>
      <c r="D17" s="5">
        <v>107.0</v>
      </c>
      <c r="E17" s="5">
        <v>3.0</v>
      </c>
      <c r="F17" s="7" t="s">
        <v>36</v>
      </c>
      <c r="G17" s="8">
        <v>625531.0</v>
      </c>
      <c r="H17" s="16">
        <f>+2915</f>
        <v>2915</v>
      </c>
      <c r="I17" s="9">
        <v>3898425.0</v>
      </c>
      <c r="J17" s="10">
        <f>+123838</f>
        <v>123838</v>
      </c>
      <c r="K17" s="8">
        <v>7.7798603E7</v>
      </c>
    </row>
    <row r="18">
      <c r="A18" s="11">
        <v>16.0</v>
      </c>
      <c r="B18" s="5" t="s">
        <v>12</v>
      </c>
      <c r="C18" s="6" t="s">
        <v>37</v>
      </c>
      <c r="D18" s="11">
        <v>213.0</v>
      </c>
      <c r="E18" s="11">
        <v>2.0</v>
      </c>
      <c r="F18" s="12" t="s">
        <v>38</v>
      </c>
      <c r="G18" s="13">
        <v>581334.0</v>
      </c>
      <c r="H18" s="18">
        <f>+11179</f>
        <v>11179</v>
      </c>
      <c r="I18" s="14">
        <v>4054467.0</v>
      </c>
      <c r="J18" s="15">
        <f>+15748</f>
        <v>15748</v>
      </c>
      <c r="K18" s="13">
        <v>1.84245634E8</v>
      </c>
    </row>
    <row r="19">
      <c r="A19" s="5">
        <v>17.0</v>
      </c>
      <c r="B19" s="5">
        <v>-2.0</v>
      </c>
      <c r="C19" s="6" t="s">
        <v>39</v>
      </c>
      <c r="D19" s="5">
        <v>17.0</v>
      </c>
      <c r="E19" s="5">
        <v>14.0</v>
      </c>
      <c r="F19" s="21"/>
      <c r="G19" s="8">
        <v>572523.0</v>
      </c>
      <c r="H19" s="8">
        <v>-6864.0</v>
      </c>
      <c r="I19" s="9">
        <v>3912850.0</v>
      </c>
      <c r="J19" s="10">
        <f>+104296</f>
        <v>104296</v>
      </c>
      <c r="K19" s="8">
        <v>8056327.0</v>
      </c>
    </row>
    <row r="20">
      <c r="A20" s="11">
        <v>18.0</v>
      </c>
      <c r="B20" s="18">
        <f>+19</f>
        <v>19</v>
      </c>
      <c r="C20" s="6" t="s">
        <v>40</v>
      </c>
      <c r="D20" s="11">
        <v>4.0</v>
      </c>
      <c r="E20" s="19">
        <v>18.0</v>
      </c>
      <c r="F20" s="20"/>
      <c r="G20" s="13">
        <v>564572.0</v>
      </c>
      <c r="H20" s="18">
        <f>+145273</f>
        <v>145273</v>
      </c>
      <c r="I20" s="14">
        <v>1488212.0</v>
      </c>
      <c r="J20" s="15">
        <f>+564572</f>
        <v>564572</v>
      </c>
      <c r="K20" s="13">
        <v>1488212.0</v>
      </c>
    </row>
    <row r="21">
      <c r="A21" s="5">
        <v>19.0</v>
      </c>
      <c r="B21" s="5">
        <v>-1.0</v>
      </c>
      <c r="C21" s="6" t="s">
        <v>41</v>
      </c>
      <c r="D21" s="5">
        <v>28.0</v>
      </c>
      <c r="E21" s="5">
        <v>12.0</v>
      </c>
      <c r="F21" s="21"/>
      <c r="G21" s="8">
        <v>557935.0</v>
      </c>
      <c r="H21" s="8">
        <v>-6230.0</v>
      </c>
      <c r="I21" s="9">
        <v>4064304.0</v>
      </c>
      <c r="J21" s="9">
        <v>-31607.0</v>
      </c>
      <c r="K21" s="8">
        <v>1.3317403E7</v>
      </c>
    </row>
    <row r="22">
      <c r="A22" s="11">
        <v>20.0</v>
      </c>
      <c r="B22" s="5" t="s">
        <v>12</v>
      </c>
      <c r="C22" s="6" t="s">
        <v>42</v>
      </c>
      <c r="D22" s="11">
        <v>157.0</v>
      </c>
      <c r="E22" s="11">
        <v>2.0</v>
      </c>
      <c r="F22" s="12" t="s">
        <v>14</v>
      </c>
      <c r="G22" s="13">
        <v>553412.0</v>
      </c>
      <c r="H22" s="18">
        <f>+21462</f>
        <v>21462</v>
      </c>
      <c r="I22" s="14">
        <v>3740439.0</v>
      </c>
      <c r="J22" s="14">
        <v>-5093.0</v>
      </c>
      <c r="K22" s="13">
        <v>1.19394958E8</v>
      </c>
    </row>
    <row r="23">
      <c r="A23" s="5">
        <v>21.0</v>
      </c>
      <c r="B23" s="5">
        <v>-4.0</v>
      </c>
      <c r="C23" s="6" t="s">
        <v>43</v>
      </c>
      <c r="D23" s="5">
        <v>213.0</v>
      </c>
      <c r="E23" s="5">
        <v>7.0</v>
      </c>
      <c r="F23" s="21"/>
      <c r="G23" s="8">
        <v>542706.0</v>
      </c>
      <c r="H23" s="8">
        <v>-21898.0</v>
      </c>
      <c r="I23" s="9">
        <v>3926915.0</v>
      </c>
      <c r="J23" s="22">
        <v>-689.0</v>
      </c>
      <c r="K23" s="8">
        <v>1.06887157E8</v>
      </c>
    </row>
    <row r="24">
      <c r="A24" s="11">
        <v>22.0</v>
      </c>
      <c r="B24" s="11">
        <v>-3.0</v>
      </c>
      <c r="C24" s="6" t="s">
        <v>44</v>
      </c>
      <c r="D24" s="11">
        <v>667.0</v>
      </c>
      <c r="E24" s="11">
        <v>2.0</v>
      </c>
      <c r="F24" s="12" t="s">
        <v>29</v>
      </c>
      <c r="G24" s="13">
        <v>540983.0</v>
      </c>
      <c r="H24" s="18">
        <f>+6513</f>
        <v>6513</v>
      </c>
      <c r="I24" s="14">
        <v>3928477.0</v>
      </c>
      <c r="J24" s="14">
        <v>-38023.0</v>
      </c>
      <c r="K24" s="13">
        <v>4.40172116E8</v>
      </c>
    </row>
    <row r="25">
      <c r="A25" s="5">
        <v>23.0</v>
      </c>
      <c r="B25" s="16">
        <f>+1</f>
        <v>1</v>
      </c>
      <c r="C25" s="6" t="s">
        <v>45</v>
      </c>
      <c r="D25" s="5">
        <v>519.0</v>
      </c>
      <c r="E25" s="5">
        <v>1.0</v>
      </c>
      <c r="F25" s="7" t="s">
        <v>46</v>
      </c>
      <c r="G25" s="8">
        <v>525989.0</v>
      </c>
      <c r="H25" s="16">
        <f>+31261</f>
        <v>31261</v>
      </c>
      <c r="I25" s="9">
        <v>3578935.0</v>
      </c>
      <c r="J25" s="9">
        <v>-4245.0</v>
      </c>
      <c r="K25" s="8">
        <v>3.83418385E8</v>
      </c>
    </row>
    <row r="26">
      <c r="A26" s="11">
        <v>24.0</v>
      </c>
      <c r="B26" s="11">
        <v>-1.0</v>
      </c>
      <c r="C26" s="6" t="s">
        <v>47</v>
      </c>
      <c r="D26" s="11">
        <v>1338.0</v>
      </c>
      <c r="E26" s="11">
        <v>7.0</v>
      </c>
      <c r="F26" s="17"/>
      <c r="G26" s="13">
        <v>525262.0</v>
      </c>
      <c r="H26" s="18">
        <f>+28105</f>
        <v>28105</v>
      </c>
      <c r="I26" s="14">
        <v>3723256.0</v>
      </c>
      <c r="J26" s="14">
        <v>-26206.0</v>
      </c>
      <c r="K26" s="13">
        <v>4.22330757E8</v>
      </c>
    </row>
    <row r="27">
      <c r="A27" s="5">
        <v>25.0</v>
      </c>
      <c r="B27" s="5">
        <v>-4.0</v>
      </c>
      <c r="C27" s="6" t="s">
        <v>48</v>
      </c>
      <c r="D27" s="5">
        <v>119.0</v>
      </c>
      <c r="E27" s="5">
        <v>14.0</v>
      </c>
      <c r="F27" s="21"/>
      <c r="G27" s="8">
        <v>510402.0</v>
      </c>
      <c r="H27" s="8">
        <v>-12489.0</v>
      </c>
      <c r="I27" s="9">
        <v>3634974.0</v>
      </c>
      <c r="J27" s="9">
        <v>-20854.0</v>
      </c>
      <c r="K27" s="8">
        <v>5.4266085E7</v>
      </c>
    </row>
    <row r="28">
      <c r="A28" s="11">
        <v>26.0</v>
      </c>
      <c r="B28" s="11">
        <v>-4.0</v>
      </c>
      <c r="C28" s="6" t="s">
        <v>49</v>
      </c>
      <c r="D28" s="11">
        <v>3.0</v>
      </c>
      <c r="E28" s="11">
        <v>10.0</v>
      </c>
      <c r="F28" s="17"/>
      <c r="G28" s="13">
        <v>493297.0</v>
      </c>
      <c r="H28" s="13">
        <v>-12968.0</v>
      </c>
      <c r="I28" s="14">
        <v>1693653.0</v>
      </c>
      <c r="J28" s="15">
        <f>+493297</f>
        <v>493297</v>
      </c>
      <c r="K28" s="13">
        <v>1693653.0</v>
      </c>
    </row>
    <row r="29">
      <c r="A29" s="5">
        <v>27.0</v>
      </c>
      <c r="B29" s="5">
        <v>-1.0</v>
      </c>
      <c r="C29" s="6" t="s">
        <v>50</v>
      </c>
      <c r="D29" s="5">
        <v>333.0</v>
      </c>
      <c r="E29" s="5">
        <v>8.0</v>
      </c>
      <c r="F29" s="21"/>
      <c r="G29" s="8">
        <v>491254.0</v>
      </c>
      <c r="H29" s="16">
        <f>+6031</f>
        <v>6031</v>
      </c>
      <c r="I29" s="9">
        <v>3465031.0</v>
      </c>
      <c r="J29" s="9">
        <v>-25069.0</v>
      </c>
      <c r="K29" s="8">
        <v>1.27022301E8</v>
      </c>
    </row>
    <row r="30">
      <c r="A30" s="11">
        <v>28.0</v>
      </c>
      <c r="B30" s="11">
        <v>-3.0</v>
      </c>
      <c r="C30" s="6" t="s">
        <v>51</v>
      </c>
      <c r="D30" s="11">
        <v>54.0</v>
      </c>
      <c r="E30" s="11">
        <v>22.0</v>
      </c>
      <c r="F30" s="17"/>
      <c r="G30" s="13">
        <v>478227.0</v>
      </c>
      <c r="H30" s="13">
        <v>-9309.0</v>
      </c>
      <c r="I30" s="14">
        <v>3390376.0</v>
      </c>
      <c r="J30" s="15">
        <f>+7750</f>
        <v>7750</v>
      </c>
      <c r="K30" s="13">
        <v>1.928324E7</v>
      </c>
    </row>
    <row r="31">
      <c r="A31" s="5">
        <v>29.0</v>
      </c>
      <c r="B31" s="16">
        <f>+9</f>
        <v>9</v>
      </c>
      <c r="C31" s="6" t="s">
        <v>52</v>
      </c>
      <c r="D31" s="5">
        <v>247.0</v>
      </c>
      <c r="E31" s="5">
        <v>3.0</v>
      </c>
      <c r="F31" s="7" t="s">
        <v>53</v>
      </c>
      <c r="G31" s="8">
        <v>473681.0</v>
      </c>
      <c r="H31" s="16">
        <f>+57038</f>
        <v>57038</v>
      </c>
      <c r="I31" s="9">
        <v>3017482.0</v>
      </c>
      <c r="J31" s="10">
        <f>+55925</f>
        <v>55925</v>
      </c>
      <c r="K31" s="8">
        <v>1.46218295E8</v>
      </c>
    </row>
    <row r="32">
      <c r="A32" s="11">
        <v>30.0</v>
      </c>
      <c r="B32" s="5" t="s">
        <v>12</v>
      </c>
      <c r="C32" s="6" t="s">
        <v>54</v>
      </c>
      <c r="D32" s="11">
        <v>107.0</v>
      </c>
      <c r="E32" s="11">
        <v>2.0</v>
      </c>
      <c r="F32" s="12" t="s">
        <v>21</v>
      </c>
      <c r="G32" s="13">
        <v>462424.0</v>
      </c>
      <c r="H32" s="18">
        <f>+13859</f>
        <v>13859</v>
      </c>
      <c r="I32" s="14">
        <v>2752151.0</v>
      </c>
      <c r="J32" s="15">
        <f>+109744</f>
        <v>109744</v>
      </c>
      <c r="K32" s="13">
        <v>6.6513759E7</v>
      </c>
    </row>
    <row r="33">
      <c r="A33" s="5">
        <v>31.0</v>
      </c>
      <c r="B33" s="16">
        <f>+5</f>
        <v>5</v>
      </c>
      <c r="C33" s="6" t="s">
        <v>55</v>
      </c>
      <c r="D33" s="5">
        <v>26.0</v>
      </c>
      <c r="E33" s="5">
        <v>2.0</v>
      </c>
      <c r="F33" s="7" t="s">
        <v>21</v>
      </c>
      <c r="G33" s="8">
        <v>460720.0</v>
      </c>
      <c r="H33" s="16">
        <f>+34838</f>
        <v>34838</v>
      </c>
      <c r="I33" s="9">
        <v>3067646.0</v>
      </c>
      <c r="J33" s="10">
        <f>+15656</f>
        <v>15656</v>
      </c>
      <c r="K33" s="8">
        <v>1.3771392E7</v>
      </c>
    </row>
    <row r="34">
      <c r="A34" s="11">
        <v>32.0</v>
      </c>
      <c r="B34" s="11">
        <v>-3.0</v>
      </c>
      <c r="C34" s="6" t="s">
        <v>56</v>
      </c>
      <c r="D34" s="11">
        <v>102.0</v>
      </c>
      <c r="E34" s="11">
        <v>28.0</v>
      </c>
      <c r="F34" s="17"/>
      <c r="G34" s="13">
        <v>457584.0</v>
      </c>
      <c r="H34" s="18">
        <f>+6663</f>
        <v>6663</v>
      </c>
      <c r="I34" s="14">
        <v>2965033.0</v>
      </c>
      <c r="J34" s="15">
        <f>+90605</f>
        <v>90605</v>
      </c>
      <c r="K34" s="13">
        <v>4.0546508E7</v>
      </c>
    </row>
    <row r="35">
      <c r="A35" s="5">
        <v>33.0</v>
      </c>
      <c r="B35" s="5">
        <v>-6.0</v>
      </c>
      <c r="C35" s="6" t="s">
        <v>57</v>
      </c>
      <c r="D35" s="5">
        <v>102.0</v>
      </c>
      <c r="E35" s="5">
        <v>24.0</v>
      </c>
      <c r="F35" s="21"/>
      <c r="G35" s="8">
        <v>454263.0</v>
      </c>
      <c r="H35" s="8">
        <v>-1194.0</v>
      </c>
      <c r="I35" s="9">
        <v>2847995.0</v>
      </c>
      <c r="J35" s="10">
        <f>+77547</f>
        <v>77547</v>
      </c>
      <c r="K35" s="8">
        <v>4.2986592E7</v>
      </c>
    </row>
    <row r="36">
      <c r="A36" s="11">
        <v>34.0</v>
      </c>
      <c r="B36" s="5" t="s">
        <v>12</v>
      </c>
      <c r="C36" s="6" t="s">
        <v>58</v>
      </c>
      <c r="D36" s="11">
        <v>590.0</v>
      </c>
      <c r="E36" s="11">
        <v>1.0</v>
      </c>
      <c r="F36" s="12" t="s">
        <v>59</v>
      </c>
      <c r="G36" s="13">
        <v>446448.0</v>
      </c>
      <c r="H36" s="18">
        <f>+12449</f>
        <v>12449</v>
      </c>
      <c r="I36" s="14">
        <v>3150210.0</v>
      </c>
      <c r="J36" s="14">
        <v>-29542.0</v>
      </c>
      <c r="K36" s="13">
        <v>4.54862137E8</v>
      </c>
    </row>
    <row r="37">
      <c r="A37" s="5">
        <v>35.0</v>
      </c>
      <c r="B37" s="5">
        <v>-4.0</v>
      </c>
      <c r="C37" s="6" t="s">
        <v>60</v>
      </c>
      <c r="D37" s="5">
        <v>2363.0</v>
      </c>
      <c r="E37" s="5">
        <v>4.0</v>
      </c>
      <c r="F37" s="21"/>
      <c r="G37" s="8">
        <v>446168.0</v>
      </c>
      <c r="H37" s="16">
        <f>+6280</f>
        <v>6280</v>
      </c>
      <c r="I37" s="9">
        <v>3100964.0</v>
      </c>
      <c r="J37" s="10">
        <f>+3002</f>
        <v>3002</v>
      </c>
      <c r="K37" s="8">
        <v>5.88621397E8</v>
      </c>
    </row>
    <row r="38">
      <c r="A38" s="11">
        <v>36.0</v>
      </c>
      <c r="B38" s="11">
        <v>-1.0</v>
      </c>
      <c r="C38" s="6" t="s">
        <v>61</v>
      </c>
      <c r="D38" s="11">
        <v>297.0</v>
      </c>
      <c r="E38" s="11">
        <v>2.0</v>
      </c>
      <c r="F38" s="12" t="s">
        <v>62</v>
      </c>
      <c r="G38" s="13">
        <v>432590.0</v>
      </c>
      <c r="H38" s="18">
        <f>+5746</f>
        <v>5746</v>
      </c>
      <c r="I38" s="14">
        <v>2998808.0</v>
      </c>
      <c r="J38" s="15">
        <f>+5067</f>
        <v>5067</v>
      </c>
      <c r="K38" s="13">
        <v>1.84508814E8</v>
      </c>
    </row>
    <row r="39">
      <c r="A39" s="5">
        <v>37.0</v>
      </c>
      <c r="B39" s="5">
        <v>-5.0</v>
      </c>
      <c r="C39" s="6" t="s">
        <v>63</v>
      </c>
      <c r="D39" s="5">
        <v>581.0</v>
      </c>
      <c r="E39" s="5">
        <v>6.0</v>
      </c>
      <c r="F39" s="21"/>
      <c r="G39" s="8">
        <v>429781.0</v>
      </c>
      <c r="H39" s="8">
        <v>-9993.0</v>
      </c>
      <c r="I39" s="9">
        <v>3152665.0</v>
      </c>
      <c r="J39" s="9">
        <v>-43965.0</v>
      </c>
      <c r="K39" s="8">
        <v>2.49442076E8</v>
      </c>
    </row>
    <row r="40">
      <c r="A40" s="11">
        <v>38.0</v>
      </c>
      <c r="B40" s="18">
        <f>+1</f>
        <v>1</v>
      </c>
      <c r="C40" s="6" t="s">
        <v>64</v>
      </c>
      <c r="D40" s="11">
        <v>114.0</v>
      </c>
      <c r="E40" s="11">
        <v>25.0</v>
      </c>
      <c r="F40" s="17"/>
      <c r="G40" s="13">
        <v>421749.0</v>
      </c>
      <c r="H40" s="18">
        <f>+16121</f>
        <v>16121</v>
      </c>
      <c r="I40" s="14">
        <v>3087236.0</v>
      </c>
      <c r="J40" s="15">
        <f>+33341</f>
        <v>33341</v>
      </c>
      <c r="K40" s="13">
        <v>3.7600342E7</v>
      </c>
    </row>
    <row r="41">
      <c r="A41" s="5">
        <v>39.0</v>
      </c>
      <c r="B41" s="5">
        <v>-6.0</v>
      </c>
      <c r="C41" s="6" t="s">
        <v>65</v>
      </c>
      <c r="D41" s="5">
        <v>33.0</v>
      </c>
      <c r="E41" s="5">
        <v>33.0</v>
      </c>
      <c r="F41" s="21"/>
      <c r="G41" s="8">
        <v>421569.0</v>
      </c>
      <c r="H41" s="8">
        <v>-14208.0</v>
      </c>
      <c r="I41" s="9">
        <v>2461073.0</v>
      </c>
      <c r="J41" s="10">
        <f>+103590</f>
        <v>103590</v>
      </c>
      <c r="K41" s="8">
        <v>9287788.0</v>
      </c>
    </row>
    <row r="42">
      <c r="A42" s="11">
        <v>40.0</v>
      </c>
      <c r="B42" s="18">
        <f>+5</f>
        <v>5</v>
      </c>
      <c r="C42" s="6" t="s">
        <v>66</v>
      </c>
      <c r="D42" s="11">
        <v>773.0</v>
      </c>
      <c r="E42" s="11">
        <v>8.0</v>
      </c>
      <c r="F42" s="17"/>
      <c r="G42" s="13">
        <v>401787.0</v>
      </c>
      <c r="H42" s="18">
        <f>+24230</f>
        <v>24230</v>
      </c>
      <c r="I42" s="14">
        <v>2771202.0</v>
      </c>
      <c r="J42" s="14">
        <v>-2346.0</v>
      </c>
      <c r="K42" s="13">
        <v>2.80530733E8</v>
      </c>
    </row>
    <row r="43">
      <c r="A43" s="5">
        <v>41.0</v>
      </c>
      <c r="B43" s="16">
        <f>+2</f>
        <v>2</v>
      </c>
      <c r="C43" s="6" t="s">
        <v>67</v>
      </c>
      <c r="D43" s="5">
        <v>248.0</v>
      </c>
      <c r="E43" s="5">
        <v>5.0</v>
      </c>
      <c r="F43" s="21"/>
      <c r="G43" s="8">
        <v>384639.0</v>
      </c>
      <c r="H43" s="8">
        <v>-1775.0</v>
      </c>
      <c r="I43" s="9">
        <v>2748867.0</v>
      </c>
      <c r="J43" s="10">
        <f>+10473</f>
        <v>10473</v>
      </c>
      <c r="K43" s="8">
        <v>1.37098621E8</v>
      </c>
    </row>
    <row r="44">
      <c r="A44" s="11">
        <v>42.0</v>
      </c>
      <c r="B44" s="11">
        <v>-2.0</v>
      </c>
      <c r="C44" s="6" t="s">
        <v>68</v>
      </c>
      <c r="D44" s="11">
        <v>114.0</v>
      </c>
      <c r="E44" s="11">
        <v>17.0</v>
      </c>
      <c r="F44" s="17"/>
      <c r="G44" s="13">
        <v>374128.0</v>
      </c>
      <c r="H44" s="13">
        <v>-24710.0</v>
      </c>
      <c r="I44" s="14">
        <v>2658390.0</v>
      </c>
      <c r="J44" s="14">
        <v>-8440.0</v>
      </c>
      <c r="K44" s="13">
        <v>4.82232E7</v>
      </c>
    </row>
    <row r="45">
      <c r="A45" s="5">
        <v>43.0</v>
      </c>
      <c r="B45" s="16">
        <f>+1</f>
        <v>1</v>
      </c>
      <c r="C45" s="6" t="s">
        <v>69</v>
      </c>
      <c r="D45" s="5">
        <v>72.0</v>
      </c>
      <c r="E45" s="5">
        <v>21.0</v>
      </c>
      <c r="F45" s="21"/>
      <c r="G45" s="8">
        <v>369084.0</v>
      </c>
      <c r="H45" s="8">
        <v>-15118.0</v>
      </c>
      <c r="I45" s="9">
        <v>2793367.0</v>
      </c>
      <c r="J45" s="9">
        <v>-30313.0</v>
      </c>
      <c r="K45" s="8">
        <v>3.0649559E7</v>
      </c>
    </row>
    <row r="46">
      <c r="A46" s="11">
        <v>44.0</v>
      </c>
      <c r="B46" s="11">
        <v>-3.0</v>
      </c>
      <c r="C46" s="6" t="s">
        <v>70</v>
      </c>
      <c r="D46" s="11">
        <v>3.0</v>
      </c>
      <c r="E46" s="11">
        <v>9.0</v>
      </c>
      <c r="F46" s="17"/>
      <c r="G46" s="13">
        <v>360849.0</v>
      </c>
      <c r="H46" s="13">
        <v>-35132.0</v>
      </c>
      <c r="I46" s="14">
        <v>1466604.0</v>
      </c>
      <c r="J46" s="15">
        <f>+360849</f>
        <v>360849</v>
      </c>
      <c r="K46" s="13">
        <v>1466604.0</v>
      </c>
    </row>
    <row r="47">
      <c r="A47" s="5">
        <v>45.0</v>
      </c>
      <c r="B47" s="16">
        <f>+8</f>
        <v>8</v>
      </c>
      <c r="C47" s="6" t="s">
        <v>71</v>
      </c>
      <c r="D47" s="5">
        <v>236.0</v>
      </c>
      <c r="E47" s="5">
        <v>3.0</v>
      </c>
      <c r="F47" s="7" t="s">
        <v>72</v>
      </c>
      <c r="G47" s="8">
        <v>357743.0</v>
      </c>
      <c r="H47" s="16">
        <f>+17541</f>
        <v>17541</v>
      </c>
      <c r="I47" s="9">
        <v>2412842.0</v>
      </c>
      <c r="J47" s="10">
        <f>+4772</f>
        <v>4772</v>
      </c>
      <c r="K47" s="8">
        <v>1.25848789E8</v>
      </c>
    </row>
    <row r="48">
      <c r="A48" s="11">
        <v>46.0</v>
      </c>
      <c r="B48" s="18">
        <f>+4</f>
        <v>4</v>
      </c>
      <c r="C48" s="6" t="s">
        <v>73</v>
      </c>
      <c r="D48" s="11">
        <v>592.0</v>
      </c>
      <c r="E48" s="11">
        <v>24.0</v>
      </c>
      <c r="F48" s="17"/>
      <c r="G48" s="13">
        <v>357534.0</v>
      </c>
      <c r="H48" s="18">
        <f>+10340</f>
        <v>10340</v>
      </c>
      <c r="I48" s="14">
        <v>2492957.0</v>
      </c>
      <c r="J48" s="14">
        <v>-10239.0</v>
      </c>
      <c r="K48" s="13">
        <v>1.69731431E8</v>
      </c>
    </row>
    <row r="49">
      <c r="A49" s="5">
        <v>47.0</v>
      </c>
      <c r="B49" s="16">
        <f>+7</f>
        <v>7</v>
      </c>
      <c r="C49" s="6" t="s">
        <v>74</v>
      </c>
      <c r="D49" s="5">
        <v>105.0</v>
      </c>
      <c r="E49" s="5">
        <v>31.0</v>
      </c>
      <c r="F49" s="21"/>
      <c r="G49" s="8">
        <v>353423.0</v>
      </c>
      <c r="H49" s="16">
        <f>+15629</f>
        <v>15629</v>
      </c>
      <c r="I49" s="9">
        <v>2127531.0</v>
      </c>
      <c r="J49" s="10">
        <f>+87862</f>
        <v>87862</v>
      </c>
      <c r="K49" s="8">
        <v>3.1795991E7</v>
      </c>
    </row>
    <row r="50">
      <c r="A50" s="11">
        <v>48.0</v>
      </c>
      <c r="B50" s="18">
        <f>+1</f>
        <v>1</v>
      </c>
      <c r="C50" s="6" t="s">
        <v>75</v>
      </c>
      <c r="D50" s="11">
        <v>259.0</v>
      </c>
      <c r="E50" s="11">
        <v>8.0</v>
      </c>
      <c r="F50" s="17"/>
      <c r="G50" s="13">
        <v>353209.0</v>
      </c>
      <c r="H50" s="18">
        <f>+5172</f>
        <v>5172</v>
      </c>
      <c r="I50" s="14">
        <v>2577011.0</v>
      </c>
      <c r="J50" s="14">
        <v>-27806.0</v>
      </c>
      <c r="K50" s="13">
        <v>1.22254465E8</v>
      </c>
    </row>
    <row r="51">
      <c r="A51" s="5">
        <v>49.0</v>
      </c>
      <c r="B51" s="5">
        <v>-7.0</v>
      </c>
      <c r="C51" s="6" t="s">
        <v>76</v>
      </c>
      <c r="D51" s="5">
        <v>36.0</v>
      </c>
      <c r="E51" s="5">
        <v>28.0</v>
      </c>
      <c r="F51" s="21"/>
      <c r="G51" s="8">
        <v>351637.0</v>
      </c>
      <c r="H51" s="8">
        <v>-42126.0</v>
      </c>
      <c r="I51" s="9">
        <v>2615586.0</v>
      </c>
      <c r="J51" s="10">
        <f>+62827</f>
        <v>62827</v>
      </c>
      <c r="K51" s="8">
        <v>1.0017752E7</v>
      </c>
    </row>
    <row r="52">
      <c r="A52" s="11">
        <v>50.0</v>
      </c>
      <c r="B52" s="18">
        <f>+6</f>
        <v>6</v>
      </c>
      <c r="C52" s="6" t="s">
        <v>77</v>
      </c>
      <c r="D52" s="11">
        <v>250.0</v>
      </c>
      <c r="E52" s="11">
        <v>3.0</v>
      </c>
      <c r="F52" s="12" t="s">
        <v>78</v>
      </c>
      <c r="G52" s="13">
        <v>348408.0</v>
      </c>
      <c r="H52" s="18">
        <f>+20287</f>
        <v>20287</v>
      </c>
      <c r="I52" s="14">
        <v>2355531.0</v>
      </c>
      <c r="J52" s="15">
        <f>+27634</f>
        <v>27634</v>
      </c>
      <c r="K52" s="13">
        <v>1.27793982E8</v>
      </c>
    </row>
  </sheetData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1"/>
</worksheet>
</file>