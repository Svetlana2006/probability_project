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203" sheetId="1" state="visible" r:id="rId1"/>
    <sheet name="AUTO_20260322" sheetId="2" state="visible" r:id="rId2"/>
    <sheet name="AUTO_20260315" sheetId="3" state="visible" r:id="rId3"/>
    <sheet name="AUTO_20260316" sheetId="4" state="visible" r:id="rId4"/>
    <sheet name="AUTO_20260317" sheetId="5" state="visible" r:id="rId5"/>
    <sheet name="AUTO_20260318" sheetId="6" state="visible" r:id="rId6"/>
    <sheet name="AUTO_20260319" sheetId="7" state="visible" r:id="rId7"/>
    <sheet name="AUTO_20260320" sheetId="8" state="visible" r:id="rId8"/>
    <sheet name="AUTO_20260321" sheetId="9" state="visible" r:id="rId9"/>
    <sheet name="AUTO_20260323" sheetId="10" state="visible" r:id="rId10"/>
    <sheet name="AUTO_20260324" sheetId="11" state="visible" r:id="rId11"/>
    <sheet name="AUTO_20260325" sheetId="12" state="visible" r:id="rId12"/>
    <sheet name="AUTO_20260326" sheetId="13" state="visible" r:id="rId13"/>
    <sheet name="AUTO_20260327" sheetId="14" state="visible" r:id="rId14"/>
    <sheet name="AUTO_20260328" sheetId="15" state="visible" r:id="rId15"/>
    <sheet name="AUTO_20260330" sheetId="16" state="visible" r:id="rId16"/>
    <sheet name="AUTO_20260329" sheetId="17" state="visible" r:id="rId17"/>
    <sheet name="AUTO_20260331" sheetId="18" state="visible" r:id="rId18"/>
    <sheet name="AUTO_20260401" sheetId="19" state="visible" r:id="rId19"/>
    <sheet name="AUTO_20260402" sheetId="20" state="visible" r:id="rId20"/>
    <sheet name="AUTO_20260403" sheetId="21" state="visible" r:id="rId21"/>
    <sheet name="AUTO_20260404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cheme val="minor"/>
    </font>
    <font>
      <name val="Verdana"/>
      <b val="1"/>
      <color rgb="FF000000"/>
      <sz val="9"/>
    </font>
    <font>
      <name val="Verdana"/>
      <b val="1"/>
      <color rgb="FF000000"/>
      <sz val="7"/>
    </font>
    <font>
      <name val="Verdana"/>
      <color rgb="FF000000"/>
      <sz val="9"/>
    </font>
    <font>
      <name val="Verdana"/>
      <color rgb="FF0000FF"/>
      <sz val="9"/>
      <u val="single"/>
    </font>
    <font>
      <name val="Verdana"/>
      <color rgb="FF000000"/>
      <sz val="7"/>
    </font>
    <font>
      <name val="Verdana"/>
      <color rgb="FF333333"/>
      <sz val="8"/>
    </font>
    <font>
      <b val="1"/>
    </font>
  </fonts>
  <fills count="4">
    <fill>
      <patternFill/>
    </fill>
    <fill>
      <patternFill patternType="lightGray"/>
    </fill>
    <fill>
      <patternFill patternType="solid">
        <fgColor rgb="FFF1F1F1"/>
        <bgColor rgb="FFF1F1F1"/>
      </patternFill>
    </fill>
    <fill>
      <patternFill patternType="solid">
        <fgColor rgb="FFF8F8F8"/>
        <bgColor rgb="FFF8F8F8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right"/>
    </xf>
    <xf numFmtId="0" fontId="5" fillId="0" borderId="0" applyAlignment="1" pivotButton="0" quotePrefix="0" xfId="0">
      <alignment horizontal="left" wrapText="1"/>
    </xf>
    <xf numFmtId="0" fontId="6" fillId="2" borderId="0" applyAlignment="1" pivotButton="0" quotePrefix="0" xfId="0">
      <alignment horizontal="left"/>
    </xf>
    <xf numFmtId="3" fontId="4" fillId="2" borderId="0" applyAlignment="1" pivotButton="0" quotePrefix="0" xfId="0">
      <alignment horizontal="right"/>
    </xf>
    <xf numFmtId="3" fontId="7" fillId="2" borderId="0" applyAlignment="1" pivotButton="0" quotePrefix="0" xfId="0">
      <alignment horizontal="right"/>
    </xf>
    <xf numFmtId="0" fontId="7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6" fillId="3" borderId="0" applyAlignment="1" pivotButton="0" quotePrefix="0" xfId="0">
      <alignment horizontal="left"/>
    </xf>
    <xf numFmtId="3" fontId="4" fillId="3" borderId="0" applyAlignment="1" pivotButton="0" quotePrefix="0" xfId="0">
      <alignment horizontal="right"/>
    </xf>
    <xf numFmtId="3" fontId="7" fillId="3" borderId="0" applyAlignment="1" pivotButton="0" quotePrefix="0" xfId="0">
      <alignment horizontal="right"/>
    </xf>
    <xf numFmtId="0" fontId="7" fillId="3" borderId="0" applyAlignment="1" pivotButton="0" quotePrefix="0" xfId="0">
      <alignment horizontal="right"/>
    </xf>
    <xf numFmtId="0" fontId="4" fillId="2" borderId="0" applyAlignment="1" pivotButton="0" quotePrefix="0" xfId="0">
      <alignment horizontal="right"/>
    </xf>
    <xf numFmtId="0" fontId="6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right"/>
    </xf>
    <xf numFmtId="0" fontId="2" fillId="3" borderId="0" applyAlignment="1" pivotButton="0" quotePrefix="0" xfId="0">
      <alignment horizontal="right"/>
    </xf>
    <xf numFmtId="0" fontId="3" fillId="3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right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kworb.net/spotify/artist/7IbxsPdlYelceWNyHAor55.html" TargetMode="External" Id="rId1" /><Relationship Type="http://schemas.openxmlformats.org/officeDocument/2006/relationships/hyperlink" Target="https://kworb.net/spotify/artist/3qWCWW0lyHpnj6E1cYwtKV.html" TargetMode="External" Id="rId2" /><Relationship Type="http://schemas.openxmlformats.org/officeDocument/2006/relationships/hyperlink" Target="https://kworb.net/spotify/artist/465OXuCU8YZNmVG1leLwQ9.html" TargetMode="External" Id="rId3" /><Relationship Type="http://schemas.openxmlformats.org/officeDocument/2006/relationships/hyperlink" Target="https://kworb.net/spotify/artist/465OXuCU8YZNmVG1leLwQ9.html" TargetMode="External" Id="rId4" /><Relationship Type="http://schemas.openxmlformats.org/officeDocument/2006/relationships/hyperlink" Target="https://kworb.net/spotify/artist/7pVf872VEuJQBwiuRFSg4w.html" TargetMode="External" Id="rId5" /><Relationship Type="http://schemas.openxmlformats.org/officeDocument/2006/relationships/hyperlink" Target="https://kworb.net/spotify/artist/0DHOOKfXu4aU7LsWjTdrIN.html" TargetMode="External" Id="rId6" /><Relationship Type="http://schemas.openxmlformats.org/officeDocument/2006/relationships/hyperlink" Target="https://kworb.net/spotify/artist/3ozYqVCLohfpXIhalkhM8D.html" TargetMode="External" Id="rId7" /><Relationship Type="http://schemas.openxmlformats.org/officeDocument/2006/relationships/hyperlink" Target="https://kworb.net/spotify/artist/4YRxDV8wJFPHPTeXepOstw.html" TargetMode="External" Id="rId8" /><Relationship Type="http://schemas.openxmlformats.org/officeDocument/2006/relationships/hyperlink" Target="https://kworb.net/spotify/artist/2IKfr1JgPRXmXKAWwrABc6.html" TargetMode="External" Id="rId9" /><Relationship Type="http://schemas.openxmlformats.org/officeDocument/2006/relationships/hyperlink" Target="https://kworb.net/spotify/artist/1mBydYMVBECdDmMfE2sEUO.html" TargetMode="External" Id="rId10" /><Relationship Type="http://schemas.openxmlformats.org/officeDocument/2006/relationships/hyperlink" Target="https://kworb.net/spotify/artist/2gXOOKY8mmJG6iwHrTq9gp.html" TargetMode="External" Id="rId11" /><Relationship Type="http://schemas.openxmlformats.org/officeDocument/2006/relationships/hyperlink" Target="https://kworb.net/spotify/artist/465OXuCU8YZNmVG1leLwQ9.html" TargetMode="External" Id="rId12" /><Relationship Type="http://schemas.openxmlformats.org/officeDocument/2006/relationships/hyperlink" Target="https://kworb.net/spotify/artist/465OXuCU8YZNmVG1leLwQ9.html" TargetMode="External" Id="rId13" /><Relationship Type="http://schemas.openxmlformats.org/officeDocument/2006/relationships/hyperlink" Target="https://kworb.net/spotify/artist/4gdMJYnopf2nEUcanAwstx.html" TargetMode="External" Id="rId14" /><Relationship Type="http://schemas.openxmlformats.org/officeDocument/2006/relationships/hyperlink" Target="https://kworb.net/spotify/artist/465OXuCU8YZNmVG1leLwQ9.html" TargetMode="External" Id="rId15" /><Relationship Type="http://schemas.openxmlformats.org/officeDocument/2006/relationships/hyperlink" Target="https://kworb.net/spotify/artist/6DARBhWbfcS9E4yJzcliqQ.html" TargetMode="External" Id="rId16" /><Relationship Type="http://schemas.openxmlformats.org/officeDocument/2006/relationships/hyperlink" Target="https://kworb.net/spotify/artist/5jJrJU7VVmxQQLcLAmmxXc.html" TargetMode="External" Id="rId17" /><Relationship Type="http://schemas.openxmlformats.org/officeDocument/2006/relationships/hyperlink" Target="https://kworb.net/spotify/artist/465OXuCU8YZNmVG1leLwQ9.html" TargetMode="External" Id="rId18" /><Relationship Type="http://schemas.openxmlformats.org/officeDocument/2006/relationships/hyperlink" Target="https://kworb.net/spotify/artist/3uHCE9eimH5dJx7TLslsmE.html" TargetMode="External" Id="rId19" /><Relationship Type="http://schemas.openxmlformats.org/officeDocument/2006/relationships/hyperlink" Target="https://kworb.net/spotify/artist/4f7KfxeHq9BiylGmyXepGt.html" TargetMode="External" Id="rId20" /><Relationship Type="http://schemas.openxmlformats.org/officeDocument/2006/relationships/hyperlink" Target="https://kworb.net/spotify/artist/6DARBhWbfcS9E4yJzcliqQ.html" TargetMode="External" Id="rId21" /><Relationship Type="http://schemas.openxmlformats.org/officeDocument/2006/relationships/hyperlink" Target="https://kworb.net/spotify/artist/05etL4pzWd6TSv1x5WrlG3.html" TargetMode="External" Id="rId22" /><Relationship Type="http://schemas.openxmlformats.org/officeDocument/2006/relationships/hyperlink" Target="https://kworb.net/spotify/artist/1SyKki7JI1AZNKwgNMkn25.html" TargetMode="External" Id="rId23" /><Relationship Type="http://schemas.openxmlformats.org/officeDocument/2006/relationships/hyperlink" Target="https://kworb.net/spotify/artist/1yzgJmZf5CxtFfGfRFm4Si.html" TargetMode="External" Id="rId24" /><Relationship Type="http://schemas.openxmlformats.org/officeDocument/2006/relationships/hyperlink" Target="https://kworb.net/spotify/artist/1Bz46nDCMO1UOKp9GJjL92.html" TargetMode="External" Id="rId25" /><Relationship Type="http://schemas.openxmlformats.org/officeDocument/2006/relationships/hyperlink" Target="https://kworb.net/spotify/artist/3Nrfpe0tUJi4K4DXYWgMUX.html" TargetMode="External" Id="rId26" /><Relationship Type="http://schemas.openxmlformats.org/officeDocument/2006/relationships/hyperlink" Target="https://kworb.net/spotify/artist/2oSONSC9zQ4UonDKnLqksx.html" TargetMode="External" Id="rId27" /><Relationship Type="http://schemas.openxmlformats.org/officeDocument/2006/relationships/hyperlink" Target="https://kworb.net/spotify/artist/1mYsTxnqsietFxj1OgoGbG.html" TargetMode="External" Id="rId28" /><Relationship Type="http://schemas.openxmlformats.org/officeDocument/2006/relationships/hyperlink" Target="https://kworb.net/spotify/artist/5wJ1H6ud777odtZl5gG507.html" TargetMode="External" Id="rId29" /><Relationship Type="http://schemas.openxmlformats.org/officeDocument/2006/relationships/hyperlink" Target="https://kworb.net/spotify/artist/465OXuCU8YZNmVG1leLwQ9.html" TargetMode="External" Id="rId30" /><Relationship Type="http://schemas.openxmlformats.org/officeDocument/2006/relationships/hyperlink" Target="https://kworb.net/spotify/artist/4zCH9qm4R2DADamUHMCa6O.html" TargetMode="External" Id="rId31" /><Relationship Type="http://schemas.openxmlformats.org/officeDocument/2006/relationships/hyperlink" Target="https://kworb.net/spotify/artist/465OXuCU8YZNmVG1leLwQ9.html" TargetMode="External" Id="rId32" /><Relationship Type="http://schemas.openxmlformats.org/officeDocument/2006/relationships/hyperlink" Target="https://kworb.net/spotify/artist/465OXuCU8YZNmVG1leLwQ9.html" TargetMode="External" Id="rId33" /><Relationship Type="http://schemas.openxmlformats.org/officeDocument/2006/relationships/hyperlink" Target="https://kworb.net/spotify/artist/4gdMJYnopf2nEUcanAwstx.html" TargetMode="External" Id="rId34" /><Relationship Type="http://schemas.openxmlformats.org/officeDocument/2006/relationships/hyperlink" Target="https://kworb.net/spotify/artist/3gBKY0y3dFFVRqicLnVZYz.html" TargetMode="External" Id="rId35" /><Relationship Type="http://schemas.openxmlformats.org/officeDocument/2006/relationships/hyperlink" Target="https://kworb.net/spotify/artist/6QoCrBHsojKnOrsGNfRcTN.html" TargetMode="External" Id="rId36" /><Relationship Type="http://schemas.openxmlformats.org/officeDocument/2006/relationships/hyperlink" Target="https://kworb.net/spotify/artist/1mYsTxnqsietFxj1OgoGbG.html" TargetMode="External" Id="rId37" /><Relationship Type="http://schemas.openxmlformats.org/officeDocument/2006/relationships/hyperlink" Target="https://kworb.net/spotify/artist/09UmIX92EUH9hAK4bxvHx6.html" TargetMode="External" Id="rId38" /><Relationship Type="http://schemas.openxmlformats.org/officeDocument/2006/relationships/hyperlink" Target="https://kworb.net/spotify/artist/5VVN3xZw1i2qihfITZlvCZ.html" TargetMode="External" Id="rId39" /><Relationship Type="http://schemas.openxmlformats.org/officeDocument/2006/relationships/hyperlink" Target="https://kworb.net/spotify/artist/1wRPtKGflJrBx9BmLsSwlU.html" TargetMode="External" Id="rId40" /><Relationship Type="http://schemas.openxmlformats.org/officeDocument/2006/relationships/hyperlink" Target="https://kworb.net/spotify/artist/0Eb38FY9vOjiRA10iXPGHI.html" TargetMode="External" Id="rId41" /><Relationship Type="http://schemas.openxmlformats.org/officeDocument/2006/relationships/hyperlink" Target="https://kworb.net/spotify/artist/5j2JTk8JqepIgv1zxYOuIi.html" TargetMode="External" Id="rId42" /><Relationship Type="http://schemas.openxmlformats.org/officeDocument/2006/relationships/hyperlink" Target="https://kworb.net/spotify/artist/2rN8LHqK4TBI7y3d9POvJb.html" TargetMode="External" Id="rId43" /><Relationship Type="http://schemas.openxmlformats.org/officeDocument/2006/relationships/hyperlink" Target="https://kworb.net/spotify/artist/3Nrfpe0tUJi4K4DXYWgMUX.html" TargetMode="External" Id="rId44" /><Relationship Type="http://schemas.openxmlformats.org/officeDocument/2006/relationships/hyperlink" Target="https://kworb.net/spotify/artist/6LEG9Ld1aLImEFEVHdWNSB.html" TargetMode="External" Id="rId45" /><Relationship Type="http://schemas.openxmlformats.org/officeDocument/2006/relationships/hyperlink" Target="https://kworb.net/spotify/artist/4oVMLzAqW6qhRpZWt8fNw4.html" TargetMode="External" Id="rId46" /><Relationship Type="http://schemas.openxmlformats.org/officeDocument/2006/relationships/hyperlink" Target="https://kworb.net/spotify/artist/465OXuCU8YZNmVG1leLwQ9.html" TargetMode="External" Id="rId47" /><Relationship Type="http://schemas.openxmlformats.org/officeDocument/2006/relationships/hyperlink" Target="https://kworb.net/spotify/artist/05etL4pzWd6TSv1x5WrlG3.html" TargetMode="External" Id="rId48" /><Relationship Type="http://schemas.openxmlformats.org/officeDocument/2006/relationships/hyperlink" Target="https://kworb.net/spotify/artist/54BjV0qctcWp8xOip7uaJD.html" TargetMode="External" Id="rId49" /><Relationship Type="http://schemas.openxmlformats.org/officeDocument/2006/relationships/hyperlink" Target="https://kworb.net/spotify/artist/09UmIX92EUH9hAK4bxvHx6.html" TargetMode="External" Id="rId50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K52"/>
  <sheetViews>
    <sheetView workbookViewId="0">
      <selection activeCell="A1" sqref="A1"/>
    </sheetView>
  </sheetViews>
  <sheetFormatPr baseColWidth="8" defaultColWidth="12.63" defaultRowHeight="15.75" customHeight="1"/>
  <cols>
    <col width="27.5" customWidth="1" style="23" min="1" max="1"/>
    <col width="39.63" customWidth="1" style="23" min="3" max="3"/>
  </cols>
  <sheetData>
    <row r="1">
      <c r="A1" s="1" t="inlineStr">
        <is>
          <t> </t>
        </is>
      </c>
    </row>
    <row r="2">
      <c r="A2" s="2" t="inlineStr">
        <is>
          <t>Pos</t>
        </is>
      </c>
      <c r="B2" s="2" t="inlineStr">
        <is>
          <t>P+</t>
        </is>
      </c>
      <c r="C2" s="3" t="inlineStr">
        <is>
          <t>Artist and Title</t>
        </is>
      </c>
      <c r="D2" s="2" t="inlineStr">
        <is>
          <t>Days</t>
        </is>
      </c>
      <c r="E2" s="2" t="inlineStr">
        <is>
          <t>Pk</t>
        </is>
      </c>
      <c r="F2" s="4" t="inlineStr">
        <is>
          <t>(x?)</t>
        </is>
      </c>
      <c r="G2" s="2" t="inlineStr">
        <is>
          <t>Streams</t>
        </is>
      </c>
      <c r="H2" s="2" t="inlineStr">
        <is>
          <t>Streams+</t>
        </is>
      </c>
      <c r="I2" s="2" t="inlineStr">
        <is>
          <t>7Day</t>
        </is>
      </c>
      <c r="J2" s="2" t="inlineStr">
        <is>
          <t>7Day+</t>
        </is>
      </c>
      <c r="K2" s="2" t="inlineStr">
        <is>
          <t>Total</t>
        </is>
      </c>
    </row>
    <row r="3">
      <c r="A3" s="16" t="n">
        <v>1</v>
      </c>
      <c r="B3" s="16" t="inlineStr">
        <is>
          <t>"="</t>
        </is>
      </c>
      <c r="C3" s="6" t="inlineStr">
        <is>
          <t>Banjaare - Bairan</t>
        </is>
      </c>
      <c r="D3" s="16" t="n">
        <v>25</v>
      </c>
      <c r="E3" s="16" t="n">
        <v>1</v>
      </c>
      <c r="F3" s="21" t="inlineStr">
        <is>
          <t>(x15)</t>
        </is>
      </c>
      <c r="G3" s="8" t="n">
        <v>2205535</v>
      </c>
      <c r="H3" s="8" t="n">
        <v>-169609</v>
      </c>
      <c r="I3" s="9" t="n">
        <v>15598526</v>
      </c>
      <c r="J3" s="22">
        <f>+232461</f>
        <v/>
      </c>
      <c r="K3" s="8" t="n">
        <v>32261663</v>
      </c>
    </row>
    <row r="4">
      <c r="A4" s="18" t="n">
        <v>2</v>
      </c>
      <c r="B4" s="16" t="inlineStr">
        <is>
          <t>"="</t>
        </is>
      </c>
      <c r="C4" s="6" t="inlineStr">
        <is>
          <t>Mitta Ror - Sheesha (w/ Swara Verma)</t>
        </is>
      </c>
      <c r="D4" s="18" t="n">
        <v>64</v>
      </c>
      <c r="E4" s="18" t="n">
        <v>2</v>
      </c>
      <c r="F4" s="17" t="inlineStr">
        <is>
          <t>(x17)</t>
        </is>
      </c>
      <c r="G4" s="13" t="n">
        <v>1184623</v>
      </c>
      <c r="H4" s="13" t="n">
        <v>-22141</v>
      </c>
      <c r="I4" s="14" t="n">
        <v>8383155</v>
      </c>
      <c r="J4" s="15">
        <f>+60778</f>
        <v/>
      </c>
      <c r="K4" s="13" t="n">
        <v>39785061</v>
      </c>
    </row>
    <row r="5">
      <c r="A5" s="16" t="n">
        <v>3</v>
      </c>
      <c r="B5" s="16" t="inlineStr">
        <is>
          <t>"="</t>
        </is>
      </c>
      <c r="C5" s="6" t="inlineStr">
        <is>
          <t>Shashwat Sachdev - Gehra Hua (w/ Arijit Singh, Irshad Kamil, Armaan Khan)</t>
        </is>
      </c>
      <c r="D5" s="16" t="n">
        <v>107</v>
      </c>
      <c r="E5" s="16" t="n">
        <v>1</v>
      </c>
      <c r="F5" s="21" t="inlineStr">
        <is>
          <t>(x69)</t>
        </is>
      </c>
      <c r="G5" s="8" t="n">
        <v>1125136</v>
      </c>
      <c r="H5" s="16">
        <f>+49404</f>
        <v/>
      </c>
      <c r="I5" s="9" t="n">
        <v>6978049</v>
      </c>
      <c r="J5" s="22">
        <f>+191722</f>
        <v/>
      </c>
      <c r="K5" s="8" t="n">
        <v>121056887</v>
      </c>
    </row>
    <row r="6">
      <c r="A6" s="18" t="n">
        <v>4</v>
      </c>
      <c r="B6" s="16" t="inlineStr">
        <is>
          <t>"="</t>
        </is>
      </c>
      <c r="C6" s="6" t="inlineStr">
        <is>
          <t>Shashwat Sachdev - Dhurandhar The Revenge - Aari Aari (From "Dhurandhar The Revenge") (w/ Bombay Rockers, Irshad Kamil, Khan Saab, Reble, Token, Jasmine Sandlas, Sudhir Yaduvanshi)</t>
        </is>
      </c>
      <c r="D6" s="18" t="n">
        <v>11</v>
      </c>
      <c r="E6" s="18" t="n">
        <v>4</v>
      </c>
      <c r="F6" s="17" t="n"/>
      <c r="G6" s="13" t="n">
        <v>1040400</v>
      </c>
      <c r="H6" s="18">
        <f>+27281</f>
        <v/>
      </c>
      <c r="I6" s="14" t="n">
        <v>4845548</v>
      </c>
      <c r="J6" s="15">
        <f>+778785</f>
        <v/>
      </c>
      <c r="K6" s="13" t="n">
        <v>5925171</v>
      </c>
    </row>
    <row r="7">
      <c r="A7" s="16" t="n">
        <v>5</v>
      </c>
      <c r="B7" s="16" t="inlineStr">
        <is>
          <t>"="</t>
        </is>
      </c>
      <c r="C7" s="6" t="inlineStr">
        <is>
          <t>Navjot Ahuja - Khat</t>
        </is>
      </c>
      <c r="D7" s="16" t="n">
        <v>66</v>
      </c>
      <c r="E7" s="16" t="n">
        <v>3</v>
      </c>
      <c r="F7" s="21" t="inlineStr">
        <is>
          <t>(x1)</t>
        </is>
      </c>
      <c r="G7" s="8" t="n">
        <v>815041</v>
      </c>
      <c r="H7" s="8" t="n">
        <v>-27062</v>
      </c>
      <c r="I7" s="9" t="n">
        <v>5771596</v>
      </c>
      <c r="J7" s="22">
        <f>+60757</f>
        <v/>
      </c>
      <c r="K7" s="8" t="n">
        <v>39548631</v>
      </c>
    </row>
    <row r="8">
      <c r="A8" s="18" t="n">
        <v>6</v>
      </c>
      <c r="B8" s="16" t="inlineStr">
        <is>
          <t>"="</t>
        </is>
      </c>
      <c r="C8" s="6" t="inlineStr">
        <is>
          <t>Paresh Pahuja - Dooron Dooron (w/ Shiv Tandan, Meghdeep Bose)</t>
        </is>
      </c>
      <c r="D8" s="18" t="n">
        <v>171</v>
      </c>
      <c r="E8" s="18" t="n">
        <v>2</v>
      </c>
      <c r="F8" s="17" t="inlineStr">
        <is>
          <t>(x1)</t>
        </is>
      </c>
      <c r="G8" s="13" t="n">
        <v>782061</v>
      </c>
      <c r="H8" s="18">
        <f>+14547</f>
        <v/>
      </c>
      <c r="I8" s="14" t="n">
        <v>5676656</v>
      </c>
      <c r="J8" s="15">
        <f>+21410</f>
        <v/>
      </c>
      <c r="K8" s="13" t="n">
        <v>107275216</v>
      </c>
    </row>
    <row r="9">
      <c r="A9" s="16" t="n">
        <v>7</v>
      </c>
      <c r="B9" s="16" t="inlineStr">
        <is>
          <t>"="</t>
        </is>
      </c>
      <c r="C9" s="6" t="inlineStr">
        <is>
          <t>Aditya Rikhari - Sahiba</t>
        </is>
      </c>
      <c r="D9" s="16" t="n">
        <v>264</v>
      </c>
      <c r="E9" s="16" t="n">
        <v>1</v>
      </c>
      <c r="F9" s="21" t="inlineStr">
        <is>
          <t>(x124)</t>
        </is>
      </c>
      <c r="G9" s="8" t="n">
        <v>764965</v>
      </c>
      <c r="H9" s="16">
        <f>+14239</f>
        <v/>
      </c>
      <c r="I9" s="9" t="n">
        <v>5337792</v>
      </c>
      <c r="J9" s="9" t="n">
        <v>-28887</v>
      </c>
      <c r="K9" s="8" t="n">
        <v>364861949</v>
      </c>
    </row>
    <row r="10">
      <c r="A10" s="18" t="n">
        <v>8</v>
      </c>
      <c r="B10" s="16" t="inlineStr">
        <is>
          <t>"="</t>
        </is>
      </c>
      <c r="C10" s="6" t="inlineStr">
        <is>
          <t>Arijit Singh - Sitaare (From "Ikkis") (w/ White Noise Collectives, Amitabh Bhattacharya)</t>
        </is>
      </c>
      <c r="D10" s="18" t="n">
        <v>107</v>
      </c>
      <c r="E10" s="18" t="n">
        <v>6</v>
      </c>
      <c r="F10" s="17" t="n"/>
      <c r="G10" s="13" t="n">
        <v>744749</v>
      </c>
      <c r="H10" s="18">
        <f>+6528</f>
        <v/>
      </c>
      <c r="I10" s="14" t="n">
        <v>5098605</v>
      </c>
      <c r="J10" s="15">
        <f>+49727</f>
        <v/>
      </c>
      <c r="K10" s="13" t="n">
        <v>58285971</v>
      </c>
    </row>
    <row r="11">
      <c r="A11" s="16" t="n">
        <v>9</v>
      </c>
      <c r="B11" s="16">
        <f>+1</f>
        <v/>
      </c>
      <c r="C11" s="6" t="inlineStr">
        <is>
          <t>Kushagra - Finding Her (w/ Bharath)</t>
        </is>
      </c>
      <c r="D11" s="16" t="n">
        <v>383</v>
      </c>
      <c r="E11" s="16" t="n">
        <v>1</v>
      </c>
      <c r="F11" s="21" t="inlineStr">
        <is>
          <t>(x54)</t>
        </is>
      </c>
      <c r="G11" s="8" t="n">
        <v>706578</v>
      </c>
      <c r="H11" s="16">
        <f>+36029</f>
        <v/>
      </c>
      <c r="I11" s="9" t="n">
        <v>4651679</v>
      </c>
      <c r="J11" s="22">
        <f>+71970</f>
        <v/>
      </c>
      <c r="K11" s="8" t="n">
        <v>342811801</v>
      </c>
    </row>
    <row r="12">
      <c r="A12" s="18" t="n">
        <v>10</v>
      </c>
      <c r="B12" s="18">
        <f>+1</f>
        <v/>
      </c>
      <c r="C12" s="6" t="inlineStr">
        <is>
          <t>Sachin-Jigar - Apna Bana Le (w/ Arijit Singh, Amitabh Bhattacharya)</t>
        </is>
      </c>
      <c r="D12" s="18" t="n">
        <v>872</v>
      </c>
      <c r="E12" s="18" t="n">
        <v>1</v>
      </c>
      <c r="F12" s="17" t="inlineStr">
        <is>
          <t>(x14)</t>
        </is>
      </c>
      <c r="G12" s="13" t="n">
        <v>702589</v>
      </c>
      <c r="H12" s="18">
        <f>+46589</f>
        <v/>
      </c>
      <c r="I12" s="14" t="n">
        <v>4569034</v>
      </c>
      <c r="J12" s="15">
        <f>+68658</f>
        <v/>
      </c>
      <c r="K12" s="13" t="n">
        <v>474244487</v>
      </c>
    </row>
    <row r="13">
      <c r="A13" s="16" t="n">
        <v>11</v>
      </c>
      <c r="B13" s="16" t="n">
        <v>-2</v>
      </c>
      <c r="C13" s="6" t="inlineStr">
        <is>
          <t>Jawad Ahmad - Samjhawan (w/ Shaarib Toshi, Arijit Singh, Shreya Ghoshal)</t>
        </is>
      </c>
      <c r="D13" s="16" t="n">
        <v>1636</v>
      </c>
      <c r="E13" s="16" t="n">
        <v>2</v>
      </c>
      <c r="F13" s="21" t="inlineStr">
        <is>
          <t>(x2)</t>
        </is>
      </c>
      <c r="G13" s="8" t="n">
        <v>695852</v>
      </c>
      <c r="H13" s="8" t="n">
        <v>-11700</v>
      </c>
      <c r="I13" s="9" t="n">
        <v>4968995</v>
      </c>
      <c r="J13" s="9" t="n">
        <v>-42003</v>
      </c>
      <c r="K13" s="8" t="n">
        <v>241269827</v>
      </c>
    </row>
    <row r="14">
      <c r="A14" s="18" t="n">
        <v>12</v>
      </c>
      <c r="B14" s="18">
        <f>+16</f>
        <v/>
      </c>
      <c r="C14" s="6" t="inlineStr">
        <is>
          <t>Shashwat Sachdev - Jaiye Sajana (w/ Jasmine Sandlas, Satinder Sartaaj)</t>
        </is>
      </c>
      <c r="D14" s="18" t="n">
        <v>3</v>
      </c>
      <c r="E14" s="19" t="n">
        <v>12</v>
      </c>
      <c r="F14" s="20" t="n"/>
      <c r="G14" s="13" t="n">
        <v>675646</v>
      </c>
      <c r="H14" s="18">
        <f>+222106</f>
        <v/>
      </c>
      <c r="I14" s="14" t="n">
        <v>1432562</v>
      </c>
      <c r="J14" s="15">
        <f>+675646</f>
        <v/>
      </c>
      <c r="K14" s="13" t="n">
        <v>1432562</v>
      </c>
    </row>
    <row r="15">
      <c r="A15" s="16" t="n">
        <v>13</v>
      </c>
      <c r="B15" s="16" t="n">
        <v>-1</v>
      </c>
      <c r="C15" s="6" t="inlineStr">
        <is>
          <t>Shashwat Sachdev - Shararat (w/ Madhubanti Bagchi, Jasmine Sandlas)</t>
        </is>
      </c>
      <c r="D15" s="16" t="n">
        <v>104</v>
      </c>
      <c r="E15" s="16" t="n">
        <v>5</v>
      </c>
      <c r="F15" s="21" t="n"/>
      <c r="G15" s="8" t="n">
        <v>664936</v>
      </c>
      <c r="H15" s="16">
        <f>+16145</f>
        <v/>
      </c>
      <c r="I15" s="9" t="n">
        <v>4284919</v>
      </c>
      <c r="J15" s="22">
        <f>+13059</f>
        <v/>
      </c>
      <c r="K15" s="8" t="n">
        <v>69400136</v>
      </c>
    </row>
    <row r="16">
      <c r="A16" s="18" t="n">
        <v>14</v>
      </c>
      <c r="B16" s="16" t="inlineStr">
        <is>
          <t>"="</t>
        </is>
      </c>
      <c r="C16" s="6" t="inlineStr">
        <is>
          <t>Anuv Jain - Arz Kiya Hai | Coke Studio Bharat</t>
        </is>
      </c>
      <c r="D16" s="18" t="n">
        <v>210</v>
      </c>
      <c r="E16" s="18" t="n">
        <v>4</v>
      </c>
      <c r="F16" s="17" t="n"/>
      <c r="G16" s="13" t="n">
        <v>627840</v>
      </c>
      <c r="H16" s="18">
        <f>+11945</f>
        <v/>
      </c>
      <c r="I16" s="14" t="n">
        <v>4317190</v>
      </c>
      <c r="J16" s="15">
        <f>+10002</f>
        <v/>
      </c>
      <c r="K16" s="13" t="n">
        <v>136568948</v>
      </c>
    </row>
    <row r="17">
      <c r="A17" s="16" t="n">
        <v>15</v>
      </c>
      <c r="B17" s="16" t="n">
        <v>-2</v>
      </c>
      <c r="C17" s="6" t="inlineStr">
        <is>
          <t>Shashwat Sachdev - Dhurandhar - Title Track (w/ Hanumankind, Jasmine Sandlas, Sudhir Yaduvanshi, Charanjit Ahuja, Muhammad Sadiq, Ranjit Kaur, Babu Singh Maan)</t>
        </is>
      </c>
      <c r="D17" s="16" t="n">
        <v>107</v>
      </c>
      <c r="E17" s="16" t="n">
        <v>3</v>
      </c>
      <c r="F17" s="21" t="inlineStr">
        <is>
          <t>(x20)</t>
        </is>
      </c>
      <c r="G17" s="8" t="n">
        <v>625531</v>
      </c>
      <c r="H17" s="16">
        <f>+2915</f>
        <v/>
      </c>
      <c r="I17" s="9" t="n">
        <v>3898425</v>
      </c>
      <c r="J17" s="22">
        <f>+123838</f>
        <v/>
      </c>
      <c r="K17" s="8" t="n">
        <v>77798603</v>
      </c>
    </row>
    <row r="18">
      <c r="A18" s="18" t="n">
        <v>16</v>
      </c>
      <c r="B18" s="16" t="inlineStr">
        <is>
          <t>"="</t>
        </is>
      </c>
      <c r="C18" s="6" t="inlineStr">
        <is>
          <t>Karan Aujla - For A Reason (w/ Ikky)</t>
        </is>
      </c>
      <c r="D18" s="18" t="n">
        <v>213</v>
      </c>
      <c r="E18" s="18" t="n">
        <v>2</v>
      </c>
      <c r="F18" s="17" t="inlineStr">
        <is>
          <t>(x5)</t>
        </is>
      </c>
      <c r="G18" s="13" t="n">
        <v>581334</v>
      </c>
      <c r="H18" s="18">
        <f>+11179</f>
        <v/>
      </c>
      <c r="I18" s="14" t="n">
        <v>4054467</v>
      </c>
      <c r="J18" s="15">
        <f>+15748</f>
        <v/>
      </c>
      <c r="K18" s="13" t="n">
        <v>184245634</v>
      </c>
    </row>
    <row r="19">
      <c r="A19" s="16" t="n">
        <v>17</v>
      </c>
      <c r="B19" s="16" t="n">
        <v>-2</v>
      </c>
      <c r="C19" s="6" t="inlineStr">
        <is>
          <t>Sai Abhyankkar - Pavazha Malli (w/ Shruti Haasan, Vivek)</t>
        </is>
      </c>
      <c r="D19" s="16" t="n">
        <v>17</v>
      </c>
      <c r="E19" s="16" t="n">
        <v>14</v>
      </c>
      <c r="F19" s="21" t="n"/>
      <c r="G19" s="8" t="n">
        <v>572523</v>
      </c>
      <c r="H19" s="8" t="n">
        <v>-6864</v>
      </c>
      <c r="I19" s="9" t="n">
        <v>3912850</v>
      </c>
      <c r="J19" s="22">
        <f>+104296</f>
        <v/>
      </c>
      <c r="K19" s="8" t="n">
        <v>8056327</v>
      </c>
    </row>
    <row r="20">
      <c r="A20" s="18" t="n">
        <v>18</v>
      </c>
      <c r="B20" s="18">
        <f>+19</f>
        <v/>
      </c>
      <c r="C20" s="6" t="inlineStr">
        <is>
          <t>Shashwat Sachdev - Jaan Se Guzarte Hain (w/ Khan Saab)</t>
        </is>
      </c>
      <c r="D20" s="18" t="n">
        <v>4</v>
      </c>
      <c r="E20" s="19" t="n">
        <v>18</v>
      </c>
      <c r="F20" s="20" t="n"/>
      <c r="G20" s="13" t="n">
        <v>564572</v>
      </c>
      <c r="H20" s="18">
        <f>+145273</f>
        <v/>
      </c>
      <c r="I20" s="14" t="n">
        <v>1488212</v>
      </c>
      <c r="J20" s="15">
        <f>+564572</f>
        <v/>
      </c>
      <c r="K20" s="13" t="n">
        <v>1488212</v>
      </c>
    </row>
    <row r="21">
      <c r="A21" s="16" t="n">
        <v>19</v>
      </c>
      <c r="B21" s="16" t="n">
        <v>-1</v>
      </c>
      <c r="C21" s="6" t="inlineStr">
        <is>
          <t>Virat - Bairi (w/ Pradeep Solanki, Heena)</t>
        </is>
      </c>
      <c r="D21" s="16" t="n">
        <v>28</v>
      </c>
      <c r="E21" s="16" t="n">
        <v>12</v>
      </c>
      <c r="F21" s="21" t="n"/>
      <c r="G21" s="8" t="n">
        <v>557935</v>
      </c>
      <c r="H21" s="8" t="n">
        <v>-6230</v>
      </c>
      <c r="I21" s="9" t="n">
        <v>4064304</v>
      </c>
      <c r="J21" s="9" t="n">
        <v>-31607</v>
      </c>
      <c r="K21" s="8" t="n">
        <v>13317403</v>
      </c>
    </row>
    <row r="22">
      <c r="A22" s="18" t="n">
        <v>20</v>
      </c>
      <c r="B22" s="16" t="inlineStr">
        <is>
          <t>"="</t>
        </is>
      </c>
      <c r="C22" s="6" t="inlineStr">
        <is>
          <t>Tanishk Bagchi - Saiyaara (w/ Faheem Abdullah, Arslan Nizami, Irshad Kamil)</t>
        </is>
      </c>
      <c r="D22" s="18" t="n">
        <v>157</v>
      </c>
      <c r="E22" s="18" t="n">
        <v>2</v>
      </c>
      <c r="F22" s="17" t="inlineStr">
        <is>
          <t>(x15)</t>
        </is>
      </c>
      <c r="G22" s="13" t="n">
        <v>553412</v>
      </c>
      <c r="H22" s="18">
        <f>+21462</f>
        <v/>
      </c>
      <c r="I22" s="14" t="n">
        <v>3740439</v>
      </c>
      <c r="J22" s="14" t="n">
        <v>-5093</v>
      </c>
      <c r="K22" s="13" t="n">
        <v>119394958</v>
      </c>
    </row>
    <row r="23">
      <c r="A23" s="16" t="n">
        <v>21</v>
      </c>
      <c r="B23" s="16" t="n">
        <v>-4</v>
      </c>
      <c r="C23" s="6" t="inlineStr">
        <is>
          <t>Karan Aujla - Boyfriend (w/ Ikky)</t>
        </is>
      </c>
      <c r="D23" s="16" t="n">
        <v>213</v>
      </c>
      <c r="E23" s="16" t="n">
        <v>7</v>
      </c>
      <c r="F23" s="21" t="n"/>
      <c r="G23" s="8" t="n">
        <v>542706</v>
      </c>
      <c r="H23" s="8" t="n">
        <v>-21898</v>
      </c>
      <c r="I23" s="9" t="n">
        <v>3926915</v>
      </c>
      <c r="J23" s="22" t="n">
        <v>-689</v>
      </c>
      <c r="K23" s="8" t="n">
        <v>106887157</v>
      </c>
    </row>
    <row r="24">
      <c r="A24" s="18" t="n">
        <v>22</v>
      </c>
      <c r="B24" s="18" t="n">
        <v>-3</v>
      </c>
      <c r="C24" s="6" t="inlineStr">
        <is>
          <t>Faheem Abdullah - Ishq (w/ Rauhan Malik)</t>
        </is>
      </c>
      <c r="D24" s="18" t="n">
        <v>667</v>
      </c>
      <c r="E24" s="18" t="n">
        <v>2</v>
      </c>
      <c r="F24" s="17" t="inlineStr">
        <is>
          <t>(x14)</t>
        </is>
      </c>
      <c r="G24" s="13" t="n">
        <v>540983</v>
      </c>
      <c r="H24" s="18">
        <f>+6513</f>
        <v/>
      </c>
      <c r="I24" s="14" t="n">
        <v>3928477</v>
      </c>
      <c r="J24" s="14" t="n">
        <v>-38023</v>
      </c>
      <c r="K24" s="13" t="n">
        <v>440172116</v>
      </c>
    </row>
    <row r="25">
      <c r="A25" s="16" t="n">
        <v>23</v>
      </c>
      <c r="B25" s="16">
        <f>+1</f>
        <v/>
      </c>
      <c r="C25" s="6" t="inlineStr">
        <is>
          <t>Sachet-Parampara - Raanjhan (From "Do Patti") (w/ Parampara Tandon, Kausar Munir)</t>
        </is>
      </c>
      <c r="D25" s="16" t="n">
        <v>519</v>
      </c>
      <c r="E25" s="16" t="n">
        <v>1</v>
      </c>
      <c r="F25" s="21" t="inlineStr">
        <is>
          <t>(x42)</t>
        </is>
      </c>
      <c r="G25" s="8" t="n">
        <v>525989</v>
      </c>
      <c r="H25" s="16">
        <f>+31261</f>
        <v/>
      </c>
      <c r="I25" s="9" t="n">
        <v>3578935</v>
      </c>
      <c r="J25" s="9" t="n">
        <v>-4245</v>
      </c>
      <c r="K25" s="8" t="n">
        <v>383418385</v>
      </c>
    </row>
    <row r="26">
      <c r="A26" s="18" t="n">
        <v>24</v>
      </c>
      <c r="B26" s="18" t="n">
        <v>-1</v>
      </c>
      <c r="C26" s="6" t="inlineStr">
        <is>
          <t>Gajendra Verma - Mann Mera</t>
        </is>
      </c>
      <c r="D26" s="18" t="n">
        <v>1338</v>
      </c>
      <c r="E26" s="18" t="n">
        <v>7</v>
      </c>
      <c r="F26" s="17" t="n"/>
      <c r="G26" s="13" t="n">
        <v>525262</v>
      </c>
      <c r="H26" s="18">
        <f>+28105</f>
        <v/>
      </c>
      <c r="I26" s="14" t="n">
        <v>3723256</v>
      </c>
      <c r="J26" s="14" t="n">
        <v>-26206</v>
      </c>
      <c r="K26" s="13" t="n">
        <v>422330757</v>
      </c>
    </row>
    <row r="27">
      <c r="A27" s="16" t="n">
        <v>25</v>
      </c>
      <c r="B27" s="16" t="n">
        <v>-4</v>
      </c>
      <c r="C27" s="6" t="inlineStr">
        <is>
          <t>Zeeshan Ali - Ishqa Ve</t>
        </is>
      </c>
      <c r="D27" s="16" t="n">
        <v>119</v>
      </c>
      <c r="E27" s="16" t="n">
        <v>14</v>
      </c>
      <c r="F27" s="21" t="n"/>
      <c r="G27" s="8" t="n">
        <v>510402</v>
      </c>
      <c r="H27" s="8" t="n">
        <v>-12489</v>
      </c>
      <c r="I27" s="9" t="n">
        <v>3634974</v>
      </c>
      <c r="J27" s="9" t="n">
        <v>-20854</v>
      </c>
      <c r="K27" s="8" t="n">
        <v>54266085</v>
      </c>
    </row>
    <row r="28">
      <c r="A28" s="18" t="n">
        <v>26</v>
      </c>
      <c r="B28" s="18" t="n">
        <v>-4</v>
      </c>
      <c r="C28" s="6" t="inlineStr">
        <is>
          <t>BTS - SWIM</t>
        </is>
      </c>
      <c r="D28" s="18" t="n">
        <v>3</v>
      </c>
      <c r="E28" s="18" t="n">
        <v>10</v>
      </c>
      <c r="F28" s="17" t="n"/>
      <c r="G28" s="13" t="n">
        <v>493297</v>
      </c>
      <c r="H28" s="13" t="n">
        <v>-12968</v>
      </c>
      <c r="I28" s="14" t="n">
        <v>1693653</v>
      </c>
      <c r="J28" s="15">
        <f>+493297</f>
        <v/>
      </c>
      <c r="K28" s="13" t="n">
        <v>1693653</v>
      </c>
    </row>
    <row r="29">
      <c r="A29" s="16" t="n">
        <v>27</v>
      </c>
      <c r="B29" s="16" t="n">
        <v>-1</v>
      </c>
      <c r="C29" s="6" t="inlineStr">
        <is>
          <t>Atif Aslam - Tere Liye (w/ Shreya Ghoshal)</t>
        </is>
      </c>
      <c r="D29" s="16" t="n">
        <v>333</v>
      </c>
      <c r="E29" s="16" t="n">
        <v>8</v>
      </c>
      <c r="F29" s="21" t="n"/>
      <c r="G29" s="8" t="n">
        <v>491254</v>
      </c>
      <c r="H29" s="16">
        <f>+6031</f>
        <v/>
      </c>
      <c r="I29" s="9" t="n">
        <v>3465031</v>
      </c>
      <c r="J29" s="9" t="n">
        <v>-25069</v>
      </c>
      <c r="K29" s="8" t="n">
        <v>127022301</v>
      </c>
    </row>
    <row r="30">
      <c r="A30" s="18" t="n">
        <v>28</v>
      </c>
      <c r="B30" s="18" t="n">
        <v>-3</v>
      </c>
      <c r="C30" s="6" t="inlineStr">
        <is>
          <t>A.R. Rahman - Deewaana Deewaana (w/ Irshad Kamil)</t>
        </is>
      </c>
      <c r="D30" s="18" t="n">
        <v>54</v>
      </c>
      <c r="E30" s="18" t="n">
        <v>22</v>
      </c>
      <c r="F30" s="17" t="n"/>
      <c r="G30" s="13" t="n">
        <v>478227</v>
      </c>
      <c r="H30" s="13" t="n">
        <v>-9309</v>
      </c>
      <c r="I30" s="14" t="n">
        <v>3390376</v>
      </c>
      <c r="J30" s="15">
        <f>+7750</f>
        <v/>
      </c>
      <c r="K30" s="13" t="n">
        <v>19283240</v>
      </c>
    </row>
    <row r="31">
      <c r="A31" s="16" t="n">
        <v>29</v>
      </c>
      <c r="B31" s="16">
        <f>+9</f>
        <v/>
      </c>
      <c r="C31" s="6" t="inlineStr">
        <is>
          <t>Vishal Mishra - Tum Ho Toh (From "Saiyaara") (w/ Hansika Pareek, Raj Shekhar)</t>
        </is>
      </c>
      <c r="D31" s="16" t="n">
        <v>247</v>
      </c>
      <c r="E31" s="16" t="n">
        <v>3</v>
      </c>
      <c r="F31" s="21" t="inlineStr">
        <is>
          <t>(x7)</t>
        </is>
      </c>
      <c r="G31" s="8" t="n">
        <v>473681</v>
      </c>
      <c r="H31" s="16">
        <f>+57038</f>
        <v/>
      </c>
      <c r="I31" s="9" t="n">
        <v>3017482</v>
      </c>
      <c r="J31" s="22">
        <f>+55925</f>
        <v/>
      </c>
      <c r="K31" s="8" t="n">
        <v>146218295</v>
      </c>
    </row>
    <row r="32">
      <c r="A32" s="18" t="n">
        <v>30</v>
      </c>
      <c r="B32" s="16" t="inlineStr">
        <is>
          <t>"="</t>
        </is>
      </c>
      <c r="C32" s="6" t="inlineStr">
        <is>
          <t>Shashwat Sachdev - Ishq Jalakar - Karvaan (w/ Shahzad Ali, Subhadeep Das Chowdhury, Armaan Khan, Irshad Kamil, Roshan, Sahir Ludhianvi)</t>
        </is>
      </c>
      <c r="D32" s="18" t="n">
        <v>107</v>
      </c>
      <c r="E32" s="18" t="n">
        <v>2</v>
      </c>
      <c r="F32" s="17" t="inlineStr">
        <is>
          <t>(x1)</t>
        </is>
      </c>
      <c r="G32" s="13" t="n">
        <v>462424</v>
      </c>
      <c r="H32" s="18">
        <f>+13859</f>
        <v/>
      </c>
      <c r="I32" s="14" t="n">
        <v>2752151</v>
      </c>
      <c r="J32" s="15">
        <f>+109744</f>
        <v/>
      </c>
      <c r="K32" s="13" t="n">
        <v>66513759</v>
      </c>
    </row>
    <row r="33">
      <c r="A33" s="16" t="n">
        <v>31</v>
      </c>
      <c r="B33" s="16">
        <f>+5</f>
        <v/>
      </c>
      <c r="C33" s="6" t="inlineStr">
        <is>
          <t>Anirudh Ravichander - Aaya Sher (From "The Paradise") (Telugu) (w/ Jangi Reddy, Arjun Chandy, Kasarla Shyam)</t>
        </is>
      </c>
      <c r="D33" s="16" t="n">
        <v>26</v>
      </c>
      <c r="E33" s="16" t="n">
        <v>2</v>
      </c>
      <c r="F33" s="21" t="inlineStr">
        <is>
          <t>(x1)</t>
        </is>
      </c>
      <c r="G33" s="8" t="n">
        <v>460720</v>
      </c>
      <c r="H33" s="16">
        <f>+34838</f>
        <v/>
      </c>
      <c r="I33" s="9" t="n">
        <v>3067646</v>
      </c>
      <c r="J33" s="22">
        <f>+15656</f>
        <v/>
      </c>
      <c r="K33" s="8" t="n">
        <v>13771392</v>
      </c>
    </row>
    <row r="34">
      <c r="A34" s="18" t="n">
        <v>32</v>
      </c>
      <c r="B34" s="18" t="n">
        <v>-3</v>
      </c>
      <c r="C34" s="6" t="inlineStr">
        <is>
          <t>Shashwat Sachdev - Naal Nachna (w/ Afsana Khan, Irshad Kamil, Reble)</t>
        </is>
      </c>
      <c r="D34" s="18" t="n">
        <v>102</v>
      </c>
      <c r="E34" s="18" t="n">
        <v>28</v>
      </c>
      <c r="F34" s="17" t="n"/>
      <c r="G34" s="13" t="n">
        <v>457584</v>
      </c>
      <c r="H34" s="18">
        <f>+6663</f>
        <v/>
      </c>
      <c r="I34" s="14" t="n">
        <v>2965033</v>
      </c>
      <c r="J34" s="15">
        <f>+90605</f>
        <v/>
      </c>
      <c r="K34" s="13" t="n">
        <v>40546508</v>
      </c>
    </row>
    <row r="35">
      <c r="A35" s="16" t="n">
        <v>33</v>
      </c>
      <c r="B35" s="16" t="n">
        <v>-6</v>
      </c>
      <c r="C35" s="6" t="inlineStr">
        <is>
          <t>Shashwat Sachdev - Lutt Le Gaya (w/ Simran Choudhary)</t>
        </is>
      </c>
      <c r="D35" s="16" t="n">
        <v>102</v>
      </c>
      <c r="E35" s="16" t="n">
        <v>24</v>
      </c>
      <c r="F35" s="21" t="n"/>
      <c r="G35" s="8" t="n">
        <v>454263</v>
      </c>
      <c r="H35" s="8" t="n">
        <v>-1194</v>
      </c>
      <c r="I35" s="9" t="n">
        <v>2847995</v>
      </c>
      <c r="J35" s="22">
        <f>+77547</f>
        <v/>
      </c>
      <c r="K35" s="8" t="n">
        <v>42986592</v>
      </c>
    </row>
    <row r="36">
      <c r="A36" s="18" t="n">
        <v>34</v>
      </c>
      <c r="B36" s="16" t="inlineStr">
        <is>
          <t>"="</t>
        </is>
      </c>
      <c r="C36" s="6" t="inlineStr">
        <is>
          <t>Anuv Jain - Jo Tum Mere Ho</t>
        </is>
      </c>
      <c r="D36" s="18" t="n">
        <v>590</v>
      </c>
      <c r="E36" s="18" t="n">
        <v>1</v>
      </c>
      <c r="F36" s="17" t="inlineStr">
        <is>
          <t>(x105)</t>
        </is>
      </c>
      <c r="G36" s="13" t="n">
        <v>446448</v>
      </c>
      <c r="H36" s="18">
        <f>+12449</f>
        <v/>
      </c>
      <c r="I36" s="14" t="n">
        <v>3150210</v>
      </c>
      <c r="J36" s="14" t="n">
        <v>-29542</v>
      </c>
      <c r="K36" s="13" t="n">
        <v>454862137</v>
      </c>
    </row>
    <row r="37">
      <c r="A37" s="16" t="n">
        <v>35</v>
      </c>
      <c r="B37" s="16" t="n">
        <v>-4</v>
      </c>
      <c r="C37" s="6" t="inlineStr">
        <is>
          <t>Alka Yagnik - Agar Tum Saath Ho (From "Tamasha") (w/ Arijit Singh)</t>
        </is>
      </c>
      <c r="D37" s="16" t="n">
        <v>2363</v>
      </c>
      <c r="E37" s="16" t="n">
        <v>4</v>
      </c>
      <c r="F37" s="21" t="n"/>
      <c r="G37" s="8" t="n">
        <v>446168</v>
      </c>
      <c r="H37" s="16">
        <f>+6280</f>
        <v/>
      </c>
      <c r="I37" s="9" t="n">
        <v>3100964</v>
      </c>
      <c r="J37" s="22">
        <f>+3002</f>
        <v/>
      </c>
      <c r="K37" s="8" t="n">
        <v>588621397</v>
      </c>
    </row>
    <row r="38">
      <c r="A38" s="18" t="n">
        <v>36</v>
      </c>
      <c r="B38" s="18" t="n">
        <v>-1</v>
      </c>
      <c r="C38" s="6" t="inlineStr">
        <is>
          <t>Talwiinder - Haseen (w/ NDS, Rippy Grewal)</t>
        </is>
      </c>
      <c r="D38" s="18" t="n">
        <v>297</v>
      </c>
      <c r="E38" s="18" t="n">
        <v>2</v>
      </c>
      <c r="F38" s="17" t="inlineStr">
        <is>
          <t>(x33)</t>
        </is>
      </c>
      <c r="G38" s="13" t="n">
        <v>432590</v>
      </c>
      <c r="H38" s="18">
        <f>+5746</f>
        <v/>
      </c>
      <c r="I38" s="14" t="n">
        <v>2998808</v>
      </c>
      <c r="J38" s="15">
        <f>+5067</f>
        <v/>
      </c>
      <c r="K38" s="13" t="n">
        <v>184508814</v>
      </c>
    </row>
    <row r="39">
      <c r="A39" s="16" t="n">
        <v>37</v>
      </c>
      <c r="B39" s="16" t="n">
        <v>-5</v>
      </c>
      <c r="C39" s="6" t="inlineStr">
        <is>
          <t>A.R. Rahman - Tere Bina (w/ Chinmayi, Murtuza Khan, Qadir Khan, Abhishek Bachchan, Aishwarya Rai Bachchan, R. Madhavan, Vidya Balan, Mithun Chakraborty, Arya Babbar)</t>
        </is>
      </c>
      <c r="D39" s="16" t="n">
        <v>581</v>
      </c>
      <c r="E39" s="16" t="n">
        <v>6</v>
      </c>
      <c r="F39" s="21" t="n"/>
      <c r="G39" s="8" t="n">
        <v>429781</v>
      </c>
      <c r="H39" s="8" t="n">
        <v>-9993</v>
      </c>
      <c r="I39" s="9" t="n">
        <v>3152665</v>
      </c>
      <c r="J39" s="9" t="n">
        <v>-43965</v>
      </c>
      <c r="K39" s="8" t="n">
        <v>249442076</v>
      </c>
    </row>
    <row r="40">
      <c r="A40" s="18" t="n">
        <v>38</v>
      </c>
      <c r="B40" s="18">
        <f>+1</f>
        <v/>
      </c>
      <c r="C40" s="6" t="inlineStr">
        <is>
          <t>Mithoon - Darkhaast (w/ Arijit Singh, Sunidhi Chauhan)</t>
        </is>
      </c>
      <c r="D40" s="18" t="n">
        <v>114</v>
      </c>
      <c r="E40" s="18" t="n">
        <v>25</v>
      </c>
      <c r="F40" s="17" t="n"/>
      <c r="G40" s="13" t="n">
        <v>421749</v>
      </c>
      <c r="H40" s="18">
        <f>+16121</f>
        <v/>
      </c>
      <c r="I40" s="14" t="n">
        <v>3087236</v>
      </c>
      <c r="J40" s="15">
        <f>+33341</f>
        <v/>
      </c>
      <c r="K40" s="13" t="n">
        <v>37600342</v>
      </c>
    </row>
    <row r="41">
      <c r="A41" s="16" t="n">
        <v>39</v>
      </c>
      <c r="B41" s="16" t="n">
        <v>-6</v>
      </c>
      <c r="C41" s="6" t="inlineStr">
        <is>
          <t>G. V. Prakash - Mutta Kalakki (From "Youth") (w/ Ken Karunaas)</t>
        </is>
      </c>
      <c r="D41" s="16" t="n">
        <v>33</v>
      </c>
      <c r="E41" s="16" t="n">
        <v>33</v>
      </c>
      <c r="F41" s="21" t="n"/>
      <c r="G41" s="8" t="n">
        <v>421569</v>
      </c>
      <c r="H41" s="8" t="n">
        <v>-14208</v>
      </c>
      <c r="I41" s="9" t="n">
        <v>2461073</v>
      </c>
      <c r="J41" s="22">
        <f>+103590</f>
        <v/>
      </c>
      <c r="K41" s="8" t="n">
        <v>9287788</v>
      </c>
    </row>
    <row r="42">
      <c r="A42" s="18" t="n">
        <v>40</v>
      </c>
      <c r="B42" s="18">
        <f>+5</f>
        <v/>
      </c>
      <c r="C42" s="6" t="inlineStr">
        <is>
          <t>Pritam - Ye Tune Kya Kiya (w/ Javed Bashir)</t>
        </is>
      </c>
      <c r="D42" s="18" t="n">
        <v>773</v>
      </c>
      <c r="E42" s="18" t="n">
        <v>8</v>
      </c>
      <c r="F42" s="17" t="n"/>
      <c r="G42" s="13" t="n">
        <v>401787</v>
      </c>
      <c r="H42" s="18">
        <f>+24230</f>
        <v/>
      </c>
      <c r="I42" s="14" t="n">
        <v>2771202</v>
      </c>
      <c r="J42" s="14" t="n">
        <v>-2346</v>
      </c>
      <c r="K42" s="13" t="n">
        <v>280530733</v>
      </c>
    </row>
    <row r="43">
      <c r="A43" s="16" t="n">
        <v>41</v>
      </c>
      <c r="B43" s="16">
        <f>+2</f>
        <v/>
      </c>
      <c r="C43" s="6" t="inlineStr">
        <is>
          <t>The Rish - Barbaad (From "Saiyaara") (w/ Jubin Nautiyal)</t>
        </is>
      </c>
      <c r="D43" s="16" t="n">
        <v>248</v>
      </c>
      <c r="E43" s="16" t="n">
        <v>5</v>
      </c>
      <c r="F43" s="21" t="n"/>
      <c r="G43" s="8" t="n">
        <v>384639</v>
      </c>
      <c r="H43" s="8" t="n">
        <v>-1775</v>
      </c>
      <c r="I43" s="9" t="n">
        <v>2748867</v>
      </c>
      <c r="J43" s="22">
        <f>+10473</f>
        <v/>
      </c>
      <c r="K43" s="8" t="n">
        <v>137098621</v>
      </c>
    </row>
    <row r="44">
      <c r="A44" s="18" t="n">
        <v>42</v>
      </c>
      <c r="B44" s="18" t="n">
        <v>-2</v>
      </c>
      <c r="C44" s="6" t="inlineStr">
        <is>
          <t>ARJN - KALYANI (w/ KDS, FIFTY4, RONN)</t>
        </is>
      </c>
      <c r="D44" s="18" t="n">
        <v>114</v>
      </c>
      <c r="E44" s="18" t="n">
        <v>17</v>
      </c>
      <c r="F44" s="17" t="n"/>
      <c r="G44" s="13" t="n">
        <v>374128</v>
      </c>
      <c r="H44" s="13" t="n">
        <v>-24710</v>
      </c>
      <c r="I44" s="14" t="n">
        <v>2658390</v>
      </c>
      <c r="J44" s="14" t="n">
        <v>-8440</v>
      </c>
      <c r="K44" s="13" t="n">
        <v>48223200</v>
      </c>
    </row>
    <row r="45">
      <c r="A45" s="16" t="n">
        <v>43</v>
      </c>
      <c r="B45" s="16">
        <f>+1</f>
        <v/>
      </c>
      <c r="C45" s="6" t="inlineStr">
        <is>
          <t>Dhanda Nyoliwala - Not Guilty</t>
        </is>
      </c>
      <c r="D45" s="16" t="n">
        <v>72</v>
      </c>
      <c r="E45" s="16" t="n">
        <v>21</v>
      </c>
      <c r="F45" s="21" t="n"/>
      <c r="G45" s="8" t="n">
        <v>369084</v>
      </c>
      <c r="H45" s="8" t="n">
        <v>-15118</v>
      </c>
      <c r="I45" s="9" t="n">
        <v>2793367</v>
      </c>
      <c r="J45" s="9" t="n">
        <v>-30313</v>
      </c>
      <c r="K45" s="8" t="n">
        <v>30649559</v>
      </c>
    </row>
    <row r="46">
      <c r="A46" s="18" t="n">
        <v>44</v>
      </c>
      <c r="B46" s="18" t="n">
        <v>-3</v>
      </c>
      <c r="C46" s="6" t="inlineStr">
        <is>
          <t>BTS - Body to Body</t>
        </is>
      </c>
      <c r="D46" s="18" t="n">
        <v>3</v>
      </c>
      <c r="E46" s="18" t="n">
        <v>9</v>
      </c>
      <c r="F46" s="17" t="n"/>
      <c r="G46" s="13" t="n">
        <v>360849</v>
      </c>
      <c r="H46" s="13" t="n">
        <v>-35132</v>
      </c>
      <c r="I46" s="14" t="n">
        <v>1466604</v>
      </c>
      <c r="J46" s="15">
        <f>+360849</f>
        <v/>
      </c>
      <c r="K46" s="13" t="n">
        <v>1466604</v>
      </c>
    </row>
    <row r="47">
      <c r="A47" s="16" t="n">
        <v>45</v>
      </c>
      <c r="B47" s="16">
        <f>+8</f>
        <v/>
      </c>
      <c r="C47" s="6" t="inlineStr">
        <is>
          <t>AP Dhillon - Thodi Si Daaru (w/ Shreya Ghoshal)</t>
        </is>
      </c>
      <c r="D47" s="16" t="n">
        <v>236</v>
      </c>
      <c r="E47" s="16" t="n">
        <v>3</v>
      </c>
      <c r="F47" s="21" t="inlineStr">
        <is>
          <t>(x18)</t>
        </is>
      </c>
      <c r="G47" s="8" t="n">
        <v>357743</v>
      </c>
      <c r="H47" s="16">
        <f>+17541</f>
        <v/>
      </c>
      <c r="I47" s="9" t="n">
        <v>2412842</v>
      </c>
      <c r="J47" s="22">
        <f>+4772</f>
        <v/>
      </c>
      <c r="K47" s="8" t="n">
        <v>125848789</v>
      </c>
    </row>
    <row r="48">
      <c r="A48" s="18" t="n">
        <v>46</v>
      </c>
      <c r="B48" s="18">
        <f>+4</f>
        <v/>
      </c>
      <c r="C48" s="6" t="inlineStr">
        <is>
          <t>Kailash Kher - Teri Deewani (w/ Paresh Kamath, Naresh Kamath)</t>
        </is>
      </c>
      <c r="D48" s="18" t="n">
        <v>592</v>
      </c>
      <c r="E48" s="18" t="n">
        <v>24</v>
      </c>
      <c r="F48" s="17" t="n"/>
      <c r="G48" s="13" t="n">
        <v>357534</v>
      </c>
      <c r="H48" s="18">
        <f>+10340</f>
        <v/>
      </c>
      <c r="I48" s="14" t="n">
        <v>2492957</v>
      </c>
      <c r="J48" s="14" t="n">
        <v>-10239</v>
      </c>
      <c r="K48" s="13" t="n">
        <v>169731431</v>
      </c>
    </row>
    <row r="49">
      <c r="A49" s="16" t="n">
        <v>47</v>
      </c>
      <c r="B49" s="16">
        <f>+7</f>
        <v/>
      </c>
      <c r="C49" s="6" t="inlineStr">
        <is>
          <t>Shashwat Sachdev - Run Down The City - Monica (w/ Reble, Asha Bhosle, R. D. Burman, Majrooh Sultanpuri)</t>
        </is>
      </c>
      <c r="D49" s="16" t="n">
        <v>105</v>
      </c>
      <c r="E49" s="16" t="n">
        <v>31</v>
      </c>
      <c r="F49" s="21" t="n"/>
      <c r="G49" s="8" t="n">
        <v>353423</v>
      </c>
      <c r="H49" s="16">
        <f>+15629</f>
        <v/>
      </c>
      <c r="I49" s="9" t="n">
        <v>2127531</v>
      </c>
      <c r="J49" s="22">
        <f>+87862</f>
        <v/>
      </c>
      <c r="K49" s="8" t="n">
        <v>31795991</v>
      </c>
    </row>
    <row r="50">
      <c r="A50" s="18" t="n">
        <v>48</v>
      </c>
      <c r="B50" s="18">
        <f>+1</f>
        <v/>
      </c>
      <c r="C50" s="6" t="inlineStr">
        <is>
          <t>Faheem Abdullah - Ehsaas (w/ Duha Shah, Vaibhav Pani, Hyder Dar)</t>
        </is>
      </c>
      <c r="D50" s="18" t="n">
        <v>259</v>
      </c>
      <c r="E50" s="18" t="n">
        <v>8</v>
      </c>
      <c r="F50" s="17" t="n"/>
      <c r="G50" s="13" t="n">
        <v>353209</v>
      </c>
      <c r="H50" s="18">
        <f>+5172</f>
        <v/>
      </c>
      <c r="I50" s="14" t="n">
        <v>2577011</v>
      </c>
      <c r="J50" s="14" t="n">
        <v>-27806</v>
      </c>
      <c r="K50" s="13" t="n">
        <v>122254465</v>
      </c>
    </row>
    <row r="51">
      <c r="A51" s="16" t="n">
        <v>49</v>
      </c>
      <c r="B51" s="16" t="n">
        <v>-7</v>
      </c>
      <c r="C51" s="6" t="inlineStr">
        <is>
          <t>thiarajxtt - Jogi (w/ Bir)</t>
        </is>
      </c>
      <c r="D51" s="16" t="n">
        <v>36</v>
      </c>
      <c r="E51" s="16" t="n">
        <v>28</v>
      </c>
      <c r="F51" s="21" t="n"/>
      <c r="G51" s="8" t="n">
        <v>351637</v>
      </c>
      <c r="H51" s="8" t="n">
        <v>-42126</v>
      </c>
      <c r="I51" s="9" t="n">
        <v>2615586</v>
      </c>
      <c r="J51" s="22">
        <f>+62827</f>
        <v/>
      </c>
      <c r="K51" s="8" t="n">
        <v>10017752</v>
      </c>
    </row>
    <row r="52">
      <c r="A52" s="18" t="n">
        <v>50</v>
      </c>
      <c r="B52" s="18">
        <f>+6</f>
        <v/>
      </c>
      <c r="C52" s="6" t="inlineStr">
        <is>
          <t>Mithoon - Dhun (From "Saiyaara") (w/ Arijit Singh)</t>
        </is>
      </c>
      <c r="D52" s="18" t="n">
        <v>250</v>
      </c>
      <c r="E52" s="18" t="n">
        <v>3</v>
      </c>
      <c r="F52" s="17" t="inlineStr">
        <is>
          <t>(x10)</t>
        </is>
      </c>
      <c r="G52" s="13" t="n">
        <v>348408</v>
      </c>
      <c r="H52" s="18">
        <f>+20287</f>
        <v/>
      </c>
      <c r="I52" s="14" t="n">
        <v>2355531</v>
      </c>
      <c r="J52" s="15">
        <f>+27634</f>
        <v/>
      </c>
      <c r="K52" s="13" t="n">
        <v>127793982</v>
      </c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</hyperlinks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Date</t>
        </is>
      </c>
      <c r="B1" s="24" t="inlineStr">
        <is>
          <t>Rank</t>
        </is>
      </c>
      <c r="C1" s="24" t="inlineStr">
        <is>
          <t>Song</t>
        </is>
      </c>
      <c r="D1" s="24" t="inlineStr">
        <is>
          <t>Artist</t>
        </is>
      </c>
    </row>
    <row r="2">
      <c r="A2" s="0" t="inlineStr">
        <is>
          <t>2026-03-22</t>
        </is>
      </c>
      <c r="B2" s="0" t="n">
        <v>1</v>
      </c>
      <c r="C2" s="0" t="inlineStr">
        <is>
          <t>Bairan</t>
        </is>
      </c>
      <c r="D2" s="0" t="inlineStr">
        <is>
          <t>Banjaare</t>
        </is>
      </c>
    </row>
    <row r="3">
      <c r="A3" s="0" t="inlineStr">
        <is>
          <t>2026-03-22</t>
        </is>
      </c>
      <c r="B3" s="0" t="n">
        <v>2</v>
      </c>
      <c r="C3" s="0" t="inlineStr">
        <is>
          <t>Sheesha - Aakhya Mai Aakh Ghali Jo Bairan</t>
        </is>
      </c>
      <c r="D3" s="0" t="inlineStr">
        <is>
          <t>Mitta Ror, Swara Verma</t>
        </is>
      </c>
    </row>
    <row r="4">
      <c r="A4" s="0" t="inlineStr">
        <is>
          <t>2026-03-22</t>
        </is>
      </c>
      <c r="B4" s="0" t="n">
        <v>3</v>
      </c>
      <c r="C4" s="0" t="inlineStr">
        <is>
          <t>Gehra Hua</t>
        </is>
      </c>
      <c r="D4" s="0" t="inlineStr">
        <is>
          <t>Shashwat Sachdev, Arijit Singh, Irshad Kamil, Armaan Khan</t>
        </is>
      </c>
    </row>
    <row r="5">
      <c r="A5" s="0" t="inlineStr">
        <is>
          <t>2026-03-22</t>
        </is>
      </c>
      <c r="B5" s="0" t="n">
        <v>4</v>
      </c>
      <c r="C5" s="0" t="inlineStr">
        <is>
          <t>Dhurandhar The Revenge - Aari Aari (From "Dhurandhar The Revenge")</t>
        </is>
      </c>
      <c r="D5" s="0" t="inlineStr">
        <is>
          <t>Shashwat Sachdev, Bombay Rockers, Irshad Kamil, Khan Saab, Reble, Token, Jasmine Sandlas, Sudhir Yaduvanshi</t>
        </is>
      </c>
    </row>
    <row r="6">
      <c r="A6" s="0" t="inlineStr">
        <is>
          <t>2026-03-22</t>
        </is>
      </c>
      <c r="B6" s="0" t="n">
        <v>5</v>
      </c>
      <c r="C6" s="0" t="inlineStr">
        <is>
          <t>Khat</t>
        </is>
      </c>
      <c r="D6" s="0" t="inlineStr">
        <is>
          <t>Navjot Ahuja</t>
        </is>
      </c>
    </row>
    <row r="7">
      <c r="A7" s="0" t="inlineStr">
        <is>
          <t>2026-03-22</t>
        </is>
      </c>
      <c r="B7" s="0" t="n">
        <v>6</v>
      </c>
      <c r="C7" s="0" t="inlineStr">
        <is>
          <t>Dooron Dooron</t>
        </is>
      </c>
      <c r="D7" s="0" t="inlineStr">
        <is>
          <t>Paresh Pahuja, Shiv Tandan, Meghdeep Bose</t>
        </is>
      </c>
    </row>
    <row r="8">
      <c r="A8" s="0" t="inlineStr">
        <is>
          <t>2026-03-22</t>
        </is>
      </c>
      <c r="B8" s="0" t="n">
        <v>7</v>
      </c>
      <c r="C8" s="0" t="inlineStr">
        <is>
          <t>Sahiba</t>
        </is>
      </c>
      <c r="D8" s="0" t="inlineStr">
        <is>
          <t>Aditya Rikhari</t>
        </is>
      </c>
    </row>
    <row r="9">
      <c r="A9" s="0" t="inlineStr">
        <is>
          <t>2026-03-22</t>
        </is>
      </c>
      <c r="B9" s="0" t="n">
        <v>8</v>
      </c>
      <c r="C9" s="0" t="inlineStr">
        <is>
          <t>Sitaare (From "Ikkis")</t>
        </is>
      </c>
      <c r="D9" s="0" t="inlineStr">
        <is>
          <t>Arijit Singh, White Noise Collectives, Amitabh Bhattacharya</t>
        </is>
      </c>
    </row>
    <row r="10">
      <c r="A10" s="0" t="inlineStr">
        <is>
          <t>2026-03-22</t>
        </is>
      </c>
      <c r="B10" s="0" t="n">
        <v>9</v>
      </c>
      <c r="C10" s="0" t="inlineStr">
        <is>
          <t>Finding Her</t>
        </is>
      </c>
      <c r="D10" s="0" t="inlineStr">
        <is>
          <t>Kushagra, Bharath, Saaheal</t>
        </is>
      </c>
    </row>
    <row r="11">
      <c r="A11" s="0" t="inlineStr">
        <is>
          <t>2026-03-22</t>
        </is>
      </c>
      <c r="B11" s="0" t="n">
        <v>10</v>
      </c>
      <c r="C11" s="0" t="inlineStr">
        <is>
          <t>Apna Bana Le</t>
        </is>
      </c>
      <c r="D11" s="0" t="inlineStr">
        <is>
          <t>Sachin-Jigar, Arijit Singh, Amitabh Bhattacharya</t>
        </is>
      </c>
    </row>
    <row r="12">
      <c r="A12" s="0" t="inlineStr">
        <is>
          <t>2026-03-22</t>
        </is>
      </c>
      <c r="B12" s="0" t="n">
        <v>11</v>
      </c>
      <c r="C12" s="0" t="inlineStr">
        <is>
          <t>Samjhawan</t>
        </is>
      </c>
      <c r="D12" s="0" t="inlineStr">
        <is>
          <t>Jawad Ahmad, Shaarib Toshi, Arijit Singh, Shreya Ghoshal</t>
        </is>
      </c>
    </row>
    <row r="13">
      <c r="A13" s="0" t="inlineStr">
        <is>
          <t>2026-03-22</t>
        </is>
      </c>
      <c r="B13" s="0" t="n">
        <v>12</v>
      </c>
      <c r="C13" s="0" t="inlineStr">
        <is>
          <t>Jaiye Sajana</t>
        </is>
      </c>
      <c r="D13" s="0" t="inlineStr">
        <is>
          <t>Shashwat Sachdev, Jasmine Sandlas, Satinder Sartaaj</t>
        </is>
      </c>
    </row>
    <row r="14">
      <c r="A14" s="0" t="inlineStr">
        <is>
          <t>2026-03-22</t>
        </is>
      </c>
      <c r="B14" s="0" t="n">
        <v>13</v>
      </c>
      <c r="C14" s="0" t="inlineStr">
        <is>
          <t>Shararat</t>
        </is>
      </c>
      <c r="D14" s="0" t="inlineStr">
        <is>
          <t>Shashwat Sachdev, Madhubanti Bagchi, Jasmine Sandlas</t>
        </is>
      </c>
    </row>
    <row r="15">
      <c r="A15" s="0" t="inlineStr">
        <is>
          <t>2026-03-22</t>
        </is>
      </c>
      <c r="B15" s="0" t="n">
        <v>14</v>
      </c>
      <c r="C15" s="0" t="inlineStr">
        <is>
          <t>Arz Kiya Hai | Coke Studio Bharat</t>
        </is>
      </c>
      <c r="D15" s="0" t="inlineStr">
        <is>
          <t>Anuv Jain</t>
        </is>
      </c>
    </row>
    <row r="16">
      <c r="A16" s="0" t="inlineStr">
        <is>
          <t>2026-03-22</t>
        </is>
      </c>
      <c r="B16" s="0" t="n">
        <v>15</v>
      </c>
      <c r="C16" s="0" t="inlineStr">
        <is>
          <t>Dhurandhar - Title Track</t>
        </is>
      </c>
      <c r="D16" s="0" t="inlineStr">
        <is>
          <t>Shashwat Sachdev, Hanumankind, Jasmine Sandlas, Sudhir Yaduvanshi, Charanjit Ahuja, Muhammad Sadiq, Ranjit Kaur, Babu Singh Maan</t>
        </is>
      </c>
    </row>
    <row r="17">
      <c r="A17" s="0" t="inlineStr">
        <is>
          <t>2026-03-22</t>
        </is>
      </c>
      <c r="B17" s="0" t="n">
        <v>16</v>
      </c>
      <c r="C17" s="0" t="inlineStr">
        <is>
          <t>For A Reason</t>
        </is>
      </c>
      <c r="D17" s="0" t="inlineStr">
        <is>
          <t>Karan Aujla, Ikky</t>
        </is>
      </c>
    </row>
    <row r="18">
      <c r="A18" s="0" t="inlineStr">
        <is>
          <t>2026-03-22</t>
        </is>
      </c>
      <c r="B18" s="0" t="n">
        <v>17</v>
      </c>
      <c r="C18" s="0" t="inlineStr">
        <is>
          <t>Pavazha Malli - From "Think Indie"</t>
        </is>
      </c>
      <c r="D18" s="0" t="inlineStr">
        <is>
          <t>Sai Abhyankkar, Shruti Haasan, Vivek</t>
        </is>
      </c>
    </row>
    <row r="19">
      <c r="A19" s="0" t="inlineStr">
        <is>
          <t>2026-03-22</t>
        </is>
      </c>
      <c r="B19" s="0" t="n">
        <v>18</v>
      </c>
      <c r="C19" s="0" t="inlineStr">
        <is>
          <t>Jaan Se Guzarte Hain</t>
        </is>
      </c>
      <c r="D19" s="0" t="inlineStr">
        <is>
          <t>Shashwat Sachdev, Khan Saab</t>
        </is>
      </c>
    </row>
    <row r="20">
      <c r="A20" s="0" t="inlineStr">
        <is>
          <t>2026-03-22</t>
        </is>
      </c>
      <c r="B20" s="0" t="n">
        <v>19</v>
      </c>
      <c r="C20" s="0" t="inlineStr">
        <is>
          <t>Bairi</t>
        </is>
      </c>
      <c r="D20" s="0" t="inlineStr">
        <is>
          <t>Virat, Pradeep Solanki, Heena</t>
        </is>
      </c>
    </row>
    <row r="21">
      <c r="A21" s="0" t="inlineStr">
        <is>
          <t>2026-03-22</t>
        </is>
      </c>
      <c r="B21" s="0" t="n">
        <v>20</v>
      </c>
      <c r="C21" s="0" t="inlineStr">
        <is>
          <t>Saiyaara</t>
        </is>
      </c>
      <c r="D21" s="0" t="inlineStr">
        <is>
          <t>Tanishk Bagchi, Faheem Abdullah, Arslan Nizami, Irshad Kamil</t>
        </is>
      </c>
    </row>
    <row r="22">
      <c r="A22" s="0" t="inlineStr">
        <is>
          <t>2026-03-22</t>
        </is>
      </c>
      <c r="B22" s="0" t="n">
        <v>21</v>
      </c>
      <c r="C22" s="0" t="inlineStr">
        <is>
          <t>Boyfriend</t>
        </is>
      </c>
      <c r="D22" s="0" t="inlineStr">
        <is>
          <t>Karan Aujla, Ikky</t>
        </is>
      </c>
    </row>
    <row r="23">
      <c r="A23" s="0" t="inlineStr">
        <is>
          <t>2026-03-22</t>
        </is>
      </c>
      <c r="B23" s="0" t="n">
        <v>22</v>
      </c>
      <c r="C23" s="0" t="inlineStr">
        <is>
          <t>Ishq</t>
        </is>
      </c>
      <c r="D23" s="0" t="inlineStr">
        <is>
          <t>Faheem Abdullah, Rauhan Malik, Amir Ameer</t>
        </is>
      </c>
    </row>
    <row r="24">
      <c r="A24" s="0" t="inlineStr">
        <is>
          <t>2026-03-22</t>
        </is>
      </c>
      <c r="B24" s="0" t="n">
        <v>23</v>
      </c>
      <c r="C24" s="0" t="inlineStr">
        <is>
          <t>Raanjhan (From "Do Patti")</t>
        </is>
      </c>
      <c r="D24" s="0" t="inlineStr">
        <is>
          <t>Sachet-Parampara, Parampara Tandon, Kausar Munir</t>
        </is>
      </c>
    </row>
    <row r="25">
      <c r="A25" s="0" t="inlineStr">
        <is>
          <t>2026-03-22</t>
        </is>
      </c>
      <c r="B25" s="0" t="n">
        <v>24</v>
      </c>
      <c r="C25" s="0" t="inlineStr">
        <is>
          <t>Mann Mera</t>
        </is>
      </c>
      <c r="D25" s="0" t="inlineStr">
        <is>
          <t>Gajendra Verma</t>
        </is>
      </c>
    </row>
    <row r="26">
      <c r="A26" s="0" t="inlineStr">
        <is>
          <t>2026-03-22</t>
        </is>
      </c>
      <c r="B26" s="0" t="n">
        <v>25</v>
      </c>
      <c r="C26" s="0" t="inlineStr">
        <is>
          <t>Ishqa Ve</t>
        </is>
      </c>
      <c r="D26" s="0" t="inlineStr">
        <is>
          <t>Zeeshan Ali, Yuvraj Tung, Sandeep Aulakh, Honey Dhillon</t>
        </is>
      </c>
    </row>
    <row r="27">
      <c r="A27" s="0" t="inlineStr">
        <is>
          <t>2026-03-22</t>
        </is>
      </c>
      <c r="B27" s="0" t="n">
        <v>26</v>
      </c>
      <c r="C27" s="0" t="inlineStr">
        <is>
          <t>SWIM</t>
        </is>
      </c>
      <c r="D27" s="0" t="inlineStr">
        <is>
          <t>BTS</t>
        </is>
      </c>
    </row>
    <row r="28">
      <c r="A28" s="0" t="inlineStr">
        <is>
          <t>2026-03-22</t>
        </is>
      </c>
      <c r="B28" s="0" t="n">
        <v>27</v>
      </c>
      <c r="C28" s="0" t="inlineStr">
        <is>
          <t>Tere Liye</t>
        </is>
      </c>
      <c r="D28" s="0" t="inlineStr">
        <is>
          <t>Atif Aslam, Shreya Ghoshal, Sachin Gupta, Sameer Anjaan</t>
        </is>
      </c>
    </row>
    <row r="29">
      <c r="A29" s="0" t="inlineStr">
        <is>
          <t>2026-03-22</t>
        </is>
      </c>
      <c r="B29" s="0" t="n">
        <v>28</v>
      </c>
      <c r="C29" s="0" t="inlineStr">
        <is>
          <t>Deewaana Deewaana</t>
        </is>
      </c>
      <c r="D29" s="0" t="inlineStr">
        <is>
          <t>A.R. Rahman, Irshad Kamil</t>
        </is>
      </c>
    </row>
    <row r="30">
      <c r="A30" s="0" t="inlineStr">
        <is>
          <t>2026-03-22</t>
        </is>
      </c>
      <c r="B30" s="0" t="n">
        <v>29</v>
      </c>
      <c r="C30" s="0" t="inlineStr">
        <is>
          <t>Tum Ho Toh (From "Saiyaara")</t>
        </is>
      </c>
      <c r="D30" s="0" t="inlineStr">
        <is>
          <t>Vishal Mishra, Hansika Pareek, Raj Shekhar</t>
        </is>
      </c>
    </row>
    <row r="31">
      <c r="A31" s="0" t="inlineStr">
        <is>
          <t>2026-03-22</t>
        </is>
      </c>
      <c r="B31" s="0" t="n">
        <v>30</v>
      </c>
      <c r="C31" s="0" t="inlineStr">
        <is>
          <t>Ishq Jalakar - Karvaan</t>
        </is>
      </c>
      <c r="D31" s="0" t="inlineStr">
        <is>
          <t>Shashwat Sachdev, Shahzad Ali, Subhadeep Das Chowdhury, Armaan Khan, Irshad Kamil, Roshan, Sahir Ludhianvi</t>
        </is>
      </c>
    </row>
    <row r="32">
      <c r="A32" s="0" t="inlineStr">
        <is>
          <t>2026-03-22</t>
        </is>
      </c>
      <c r="B32" s="0" t="n">
        <v>31</v>
      </c>
      <c r="C32" s="0" t="inlineStr">
        <is>
          <t>Aaya Sher (From "The Paradise") (Telugu)</t>
        </is>
      </c>
      <c r="D32" s="0" t="inlineStr">
        <is>
          <t>Anirudh Ravichander, Jangi Reddy, Arjun Chandy, Kasarla Shyam</t>
        </is>
      </c>
    </row>
    <row r="33">
      <c r="A33" s="0" t="inlineStr">
        <is>
          <t>2026-03-22</t>
        </is>
      </c>
      <c r="B33" s="0" t="n">
        <v>32</v>
      </c>
      <c r="C33" s="0" t="inlineStr">
        <is>
          <t>Naal Nachna</t>
        </is>
      </c>
      <c r="D33" s="0" t="inlineStr">
        <is>
          <t>Shashwat Sachdev, Afsana Khan, Irshad Kamil, Reble</t>
        </is>
      </c>
    </row>
    <row r="34">
      <c r="A34" s="0" t="inlineStr">
        <is>
          <t>2026-03-22</t>
        </is>
      </c>
      <c r="B34" s="0" t="n">
        <v>33</v>
      </c>
      <c r="C34" s="0" t="inlineStr">
        <is>
          <t>Lutt Le Gaya</t>
        </is>
      </c>
      <c r="D34" s="0" t="inlineStr">
        <is>
          <t>Shashwat Sachdev, Simran Choudhary</t>
        </is>
      </c>
    </row>
    <row r="35">
      <c r="A35" s="0" t="inlineStr">
        <is>
          <t>2026-03-22</t>
        </is>
      </c>
      <c r="B35" s="0" t="n">
        <v>34</v>
      </c>
      <c r="C35" s="0" t="inlineStr">
        <is>
          <t>Jo Tum Mere Ho</t>
        </is>
      </c>
      <c r="D35" s="0" t="inlineStr">
        <is>
          <t>Anuv Jain</t>
        </is>
      </c>
    </row>
    <row r="36">
      <c r="A36" s="0" t="inlineStr">
        <is>
          <t>2026-03-22</t>
        </is>
      </c>
      <c r="B36" s="0" t="n">
        <v>35</v>
      </c>
      <c r="C36" s="0" t="inlineStr">
        <is>
          <t>Agar Tum Saath Ho (From "Tamasha")</t>
        </is>
      </c>
      <c r="D36" s="0" t="inlineStr">
        <is>
          <t>Alka Yagnik, Arijit Singh</t>
        </is>
      </c>
    </row>
    <row r="37">
      <c r="A37" s="0" t="inlineStr">
        <is>
          <t>2026-03-22</t>
        </is>
      </c>
      <c r="B37" s="0" t="n">
        <v>36</v>
      </c>
      <c r="C37" s="0" t="inlineStr">
        <is>
          <t>Haseen</t>
        </is>
      </c>
      <c r="D37" s="0" t="inlineStr">
        <is>
          <t>Talwiinder, NDS, Rippy Grewal</t>
        </is>
      </c>
    </row>
    <row r="38">
      <c r="A38" s="0" t="inlineStr">
        <is>
          <t>2026-03-22</t>
        </is>
      </c>
      <c r="B38" s="0" t="n">
        <v>37</v>
      </c>
      <c r="C38" s="0" t="inlineStr">
        <is>
          <t>Tere Bina</t>
        </is>
      </c>
      <c r="D38" s="0" t="inlineStr">
        <is>
          <t>A.R. Rahman, Chinmayi, Murtuza Khan, Qadir Khan</t>
        </is>
      </c>
    </row>
    <row r="39">
      <c r="A39" s="0" t="inlineStr">
        <is>
          <t>2026-03-22</t>
        </is>
      </c>
      <c r="B39" s="0" t="n">
        <v>38</v>
      </c>
      <c r="C39" s="0" t="inlineStr">
        <is>
          <t>Darkhaast</t>
        </is>
      </c>
      <c r="D39" s="0" t="inlineStr">
        <is>
          <t>Mithoon, Arijit Singh, Sunidhi Chauhan, Sayeed Quadri</t>
        </is>
      </c>
    </row>
    <row r="40">
      <c r="A40" s="0" t="inlineStr">
        <is>
          <t>2026-03-22</t>
        </is>
      </c>
      <c r="B40" s="0" t="n">
        <v>39</v>
      </c>
      <c r="C40" s="0" t="inlineStr">
        <is>
          <t>Mutta Kalakki (From "Youth")</t>
        </is>
      </c>
      <c r="D40" s="0" t="inlineStr">
        <is>
          <t>G. V. Prakash, Ken Karunaas</t>
        </is>
      </c>
    </row>
    <row r="41">
      <c r="A41" s="0" t="inlineStr">
        <is>
          <t>2026-03-22</t>
        </is>
      </c>
      <c r="B41" s="0" t="n">
        <v>40</v>
      </c>
      <c r="C41" s="0" t="inlineStr">
        <is>
          <t>Ye Tune Kya Kiya</t>
        </is>
      </c>
      <c r="D41" s="0" t="inlineStr">
        <is>
          <t>Pritam, Javed Bashir, Rajat Arora</t>
        </is>
      </c>
    </row>
    <row r="42">
      <c r="A42" s="0" t="inlineStr">
        <is>
          <t>2026-03-22</t>
        </is>
      </c>
      <c r="B42" s="0" t="n">
        <v>41</v>
      </c>
      <c r="C42" s="0" t="inlineStr">
        <is>
          <t>Barbaad (From "Saiyaara")</t>
        </is>
      </c>
      <c r="D42" s="0" t="inlineStr">
        <is>
          <t>The Rish, Jubin Nautiyal</t>
        </is>
      </c>
    </row>
    <row r="43">
      <c r="A43" s="0" t="inlineStr">
        <is>
          <t>2026-03-22</t>
        </is>
      </c>
      <c r="B43" s="0" t="n">
        <v>42</v>
      </c>
      <c r="C43" s="0" t="inlineStr">
        <is>
          <t>KALYANI</t>
        </is>
      </c>
      <c r="D43" s="0" t="inlineStr">
        <is>
          <t>ARJN, KDS, FIFTY4, RONN</t>
        </is>
      </c>
    </row>
    <row r="44">
      <c r="A44" s="0" t="inlineStr">
        <is>
          <t>2026-03-22</t>
        </is>
      </c>
      <c r="B44" s="0" t="n">
        <v>43</v>
      </c>
      <c r="C44" s="0" t="inlineStr">
        <is>
          <t>Not Guilty</t>
        </is>
      </c>
      <c r="D44" s="0" t="inlineStr">
        <is>
          <t>Dhanda Nyoliwala</t>
        </is>
      </c>
    </row>
    <row r="45">
      <c r="A45" s="0" t="inlineStr">
        <is>
          <t>2026-03-22</t>
        </is>
      </c>
      <c r="B45" s="0" t="n">
        <v>44</v>
      </c>
      <c r="C45" s="0" t="inlineStr">
        <is>
          <t>Body to Body</t>
        </is>
      </c>
      <c r="D45" s="0" t="inlineStr">
        <is>
          <t>BTS</t>
        </is>
      </c>
    </row>
    <row r="46">
      <c r="A46" s="0" t="inlineStr">
        <is>
          <t>2026-03-22</t>
        </is>
      </c>
      <c r="B46" s="0" t="n">
        <v>45</v>
      </c>
      <c r="C46" s="0" t="inlineStr">
        <is>
          <t>Thodi Si Daaru</t>
        </is>
      </c>
      <c r="D46" s="0" t="inlineStr">
        <is>
          <t>AP Dhillon, Shreya Ghoshal</t>
        </is>
      </c>
    </row>
    <row r="47">
      <c r="A47" s="0" t="inlineStr">
        <is>
          <t>2026-03-22</t>
        </is>
      </c>
      <c r="B47" s="0" t="n">
        <v>46</v>
      </c>
      <c r="C47" s="0" t="inlineStr">
        <is>
          <t>Teri Deewani</t>
        </is>
      </c>
      <c r="D47" s="0" t="inlineStr">
        <is>
          <t>Kailash Kher, Paresh Kamath, Naresh Kamath</t>
        </is>
      </c>
    </row>
    <row r="48">
      <c r="A48" s="0" t="inlineStr">
        <is>
          <t>2026-03-22</t>
        </is>
      </c>
      <c r="B48" s="0" t="n">
        <v>47</v>
      </c>
      <c r="C48" s="0" t="inlineStr">
        <is>
          <t>Run Down The City - Monica</t>
        </is>
      </c>
      <c r="D48" s="0" t="inlineStr">
        <is>
          <t>Shashwat Sachdev, Reble, Asha Bhosle, R. D. Burman, Majrooh Sultanpuri</t>
        </is>
      </c>
    </row>
    <row r="49">
      <c r="A49" s="0" t="inlineStr">
        <is>
          <t>2026-03-22</t>
        </is>
      </c>
      <c r="B49" s="0" t="n">
        <v>48</v>
      </c>
      <c r="C49" s="0" t="inlineStr">
        <is>
          <t>Ehsaas</t>
        </is>
      </c>
      <c r="D49" s="0" t="inlineStr">
        <is>
          <t>Faheem Abdullah, Duha Shah, Vaibhav Pani, Hyder Dar</t>
        </is>
      </c>
    </row>
    <row r="50">
      <c r="A50" s="0" t="inlineStr">
        <is>
          <t>2026-03-22</t>
        </is>
      </c>
      <c r="B50" s="0" t="n">
        <v>49</v>
      </c>
      <c r="C50" s="0" t="inlineStr">
        <is>
          <t>Jogi</t>
        </is>
      </c>
      <c r="D50" s="0" t="inlineStr">
        <is>
          <t>thiarajxtt, Bir</t>
        </is>
      </c>
    </row>
    <row r="51">
      <c r="A51" s="0" t="inlineStr">
        <is>
          <t>2026-03-22</t>
        </is>
      </c>
      <c r="B51" s="0" t="n">
        <v>50</v>
      </c>
      <c r="C51" s="0" t="inlineStr">
        <is>
          <t>Dhun (From "Saiyaara")</t>
        </is>
      </c>
      <c r="D51" s="0" t="inlineStr">
        <is>
          <t>Mithoon, Arijit Singh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Date</t>
        </is>
      </c>
      <c r="B1" s="24" t="inlineStr">
        <is>
          <t>Rank</t>
        </is>
      </c>
      <c r="C1" s="24" t="inlineStr">
        <is>
          <t>Song</t>
        </is>
      </c>
      <c r="D1" s="24" t="inlineStr">
        <is>
          <t>Artist</t>
        </is>
      </c>
    </row>
    <row r="2">
      <c r="A2" s="0" t="inlineStr">
        <is>
          <t>2026-03-15</t>
        </is>
      </c>
      <c r="B2" s="0" t="n">
        <v>1</v>
      </c>
      <c r="C2" s="0" t="inlineStr">
        <is>
          <t>Bairan</t>
        </is>
      </c>
      <c r="D2" s="0" t="inlineStr">
        <is>
          <t>Banjaare</t>
        </is>
      </c>
    </row>
    <row r="3">
      <c r="A3" s="0" t="inlineStr">
        <is>
          <t>2026-03-15</t>
        </is>
      </c>
      <c r="B3" s="0" t="n">
        <v>2</v>
      </c>
      <c r="C3" s="0" t="inlineStr">
        <is>
          <t>Sheesha - Aakhya Mai Aakh Ghali Jo Bairan</t>
        </is>
      </c>
      <c r="D3" s="0" t="inlineStr">
        <is>
          <t>Mitta Ror, Swara Verma</t>
        </is>
      </c>
    </row>
    <row r="4">
      <c r="A4" s="0" t="inlineStr">
        <is>
          <t>2026-03-15</t>
        </is>
      </c>
      <c r="B4" s="0" t="n">
        <v>3</v>
      </c>
      <c r="C4" s="0" t="inlineStr">
        <is>
          <t>Gehra Hua</t>
        </is>
      </c>
      <c r="D4" s="0" t="inlineStr">
        <is>
          <t>Shashwat Sachdev, Arijit Singh, Irshad Kamil, Armaan Khan</t>
        </is>
      </c>
    </row>
    <row r="5">
      <c r="A5" s="0" t="inlineStr">
        <is>
          <t>2026-03-15</t>
        </is>
      </c>
      <c r="B5" s="0" t="n">
        <v>4</v>
      </c>
      <c r="C5" s="0" t="inlineStr">
        <is>
          <t>Sahiba</t>
        </is>
      </c>
      <c r="D5" s="0" t="inlineStr">
        <is>
          <t>Aditya Rikhari</t>
        </is>
      </c>
    </row>
    <row r="6">
      <c r="A6" s="0" t="inlineStr">
        <is>
          <t>2026-03-15</t>
        </is>
      </c>
      <c r="B6" s="0" t="n">
        <v>5</v>
      </c>
      <c r="C6" s="0" t="inlineStr">
        <is>
          <t>Dooron Dooron</t>
        </is>
      </c>
      <c r="D6" s="0" t="inlineStr">
        <is>
          <t>Paresh Pahuja, Shiv Tandan, Meghdeep Bose</t>
        </is>
      </c>
    </row>
    <row r="7">
      <c r="A7" s="0" t="inlineStr">
        <is>
          <t>2026-03-15</t>
        </is>
      </c>
      <c r="B7" s="0" t="n">
        <v>6</v>
      </c>
      <c r="C7" s="0" t="inlineStr">
        <is>
          <t>Khat</t>
        </is>
      </c>
      <c r="D7" s="0" t="inlineStr">
        <is>
          <t>Navjot Ahuja</t>
        </is>
      </c>
    </row>
    <row r="8">
      <c r="A8" s="0" t="inlineStr">
        <is>
          <t>2026-03-15</t>
        </is>
      </c>
      <c r="B8" s="0" t="n">
        <v>7</v>
      </c>
      <c r="C8" s="0" t="inlineStr">
        <is>
          <t>Samjhawan</t>
        </is>
      </c>
      <c r="D8" s="0" t="inlineStr">
        <is>
          <t>Jawad Ahmad, Shaarib Toshi, Arijit Singh, Shreya Ghoshal</t>
        </is>
      </c>
    </row>
    <row r="9">
      <c r="A9" s="0" t="inlineStr">
        <is>
          <t>2026-03-15</t>
        </is>
      </c>
      <c r="B9" s="0" t="n">
        <v>8</v>
      </c>
      <c r="C9" s="0" t="inlineStr">
        <is>
          <t>Sitaare (From "Ikkis")</t>
        </is>
      </c>
      <c r="D9" s="0" t="inlineStr">
        <is>
          <t>Arijit Singh, White Noise Collectives, Amitabh Bhattacharya</t>
        </is>
      </c>
    </row>
    <row r="10">
      <c r="A10" s="0" t="inlineStr">
        <is>
          <t>2026-03-15</t>
        </is>
      </c>
      <c r="B10" s="0" t="n">
        <v>9</v>
      </c>
      <c r="C10" s="0" t="inlineStr">
        <is>
          <t>Shararat</t>
        </is>
      </c>
      <c r="D10" s="0" t="inlineStr">
        <is>
          <t>Shashwat Sachdev, Madhubanti Bagchi, Jasmine Sandlas</t>
        </is>
      </c>
    </row>
    <row r="11">
      <c r="A11" s="0" t="inlineStr">
        <is>
          <t>2026-03-15</t>
        </is>
      </c>
      <c r="B11" s="0" t="n">
        <v>10</v>
      </c>
      <c r="C11" s="0" t="inlineStr">
        <is>
          <t>Finding Her</t>
        </is>
      </c>
      <c r="D11" s="0" t="inlineStr">
        <is>
          <t>Kushagra, Bharath, Saaheal</t>
        </is>
      </c>
    </row>
    <row r="12">
      <c r="A12" s="0" t="inlineStr">
        <is>
          <t>2026-03-15</t>
        </is>
      </c>
      <c r="B12" s="0" t="n">
        <v>11</v>
      </c>
      <c r="C12" s="0" t="inlineStr">
        <is>
          <t>Apna Bana Le</t>
        </is>
      </c>
      <c r="D12" s="0" t="inlineStr">
        <is>
          <t>Sachin-Jigar, Arijit Singh, Amitabh Bhattacharya</t>
        </is>
      </c>
    </row>
    <row r="13">
      <c r="A13" s="0" t="inlineStr">
        <is>
          <t>2026-03-15</t>
        </is>
      </c>
      <c r="B13" s="0" t="n">
        <v>12</v>
      </c>
      <c r="C13" s="0" t="inlineStr">
        <is>
          <t>Arz Kiya Hai | Coke Studio Bharat</t>
        </is>
      </c>
      <c r="D13" s="0" t="inlineStr">
        <is>
          <t>Anuv Jain</t>
        </is>
      </c>
    </row>
    <row r="14">
      <c r="A14" s="0" t="inlineStr">
        <is>
          <t>2026-03-15</t>
        </is>
      </c>
      <c r="B14" s="0" t="n">
        <v>13</v>
      </c>
      <c r="C14" s="0" t="inlineStr">
        <is>
          <t>Bairi</t>
        </is>
      </c>
      <c r="D14" s="0" t="inlineStr">
        <is>
          <t>Virat, Pradeep Solanki, Heena</t>
        </is>
      </c>
    </row>
    <row r="15">
      <c r="A15" s="0" t="inlineStr">
        <is>
          <t>2026-03-15</t>
        </is>
      </c>
      <c r="B15" s="0" t="n">
        <v>14</v>
      </c>
      <c r="C15" s="0" t="inlineStr">
        <is>
          <t>Ishq</t>
        </is>
      </c>
      <c r="D15" s="0" t="inlineStr">
        <is>
          <t>Faheem Abdullah, Rauhan Malik, Amir Ameer</t>
        </is>
      </c>
    </row>
    <row r="16">
      <c r="A16" s="0" t="inlineStr">
        <is>
          <t>2026-03-15</t>
        </is>
      </c>
      <c r="B16" s="0" t="n">
        <v>15</v>
      </c>
      <c r="C16" s="0" t="inlineStr">
        <is>
          <t>For A Reason</t>
        </is>
      </c>
      <c r="D16" s="0" t="inlineStr">
        <is>
          <t>Karan Aujla, Ikky</t>
        </is>
      </c>
    </row>
    <row r="17">
      <c r="A17" s="0" t="inlineStr">
        <is>
          <t>2026-03-15</t>
        </is>
      </c>
      <c r="B17" s="0" t="n">
        <v>16</v>
      </c>
      <c r="C17" s="0" t="inlineStr">
        <is>
          <t>Saiyaara</t>
        </is>
      </c>
      <c r="D17" s="0" t="inlineStr">
        <is>
          <t>Tanishk Bagchi, Faheem Abdullah, Arslan Nizami, Irshad Kamil</t>
        </is>
      </c>
    </row>
    <row r="18">
      <c r="A18" s="0" t="inlineStr">
        <is>
          <t>2026-03-15</t>
        </is>
      </c>
      <c r="B18" s="0" t="n">
        <v>17</v>
      </c>
      <c r="C18" s="0" t="inlineStr">
        <is>
          <t>Mann Mera</t>
        </is>
      </c>
      <c r="D18" s="0" t="inlineStr">
        <is>
          <t>Gajendra Verma</t>
        </is>
      </c>
    </row>
    <row r="19">
      <c r="A19" s="0" t="inlineStr">
        <is>
          <t>2026-03-15</t>
        </is>
      </c>
      <c r="B19" s="0" t="n">
        <v>18</v>
      </c>
      <c r="C19" s="0" t="inlineStr">
        <is>
          <t>Boyfriend</t>
        </is>
      </c>
      <c r="D19" s="0" t="inlineStr">
        <is>
          <t>Karan Aujla, Ikky</t>
        </is>
      </c>
    </row>
    <row r="20">
      <c r="A20" s="0" t="inlineStr">
        <is>
          <t>2026-03-15</t>
        </is>
      </c>
      <c r="B20" s="0" t="n">
        <v>19</v>
      </c>
      <c r="C20" s="0" t="inlineStr">
        <is>
          <t>Ishqa Ve</t>
        </is>
      </c>
      <c r="D20" s="0" t="inlineStr">
        <is>
          <t>Zeeshan Ali, Yuvraj Tung, Sandeep Aulakh, Honey Dhillon</t>
        </is>
      </c>
    </row>
    <row r="21">
      <c r="A21" s="0" t="inlineStr">
        <is>
          <t>2026-03-15</t>
        </is>
      </c>
      <c r="B21" s="0" t="n">
        <v>20</v>
      </c>
      <c r="C21" s="0" t="inlineStr">
        <is>
          <t>Raanjhan (From "Do Patti")</t>
        </is>
      </c>
      <c r="D21" s="0" t="inlineStr">
        <is>
          <t>Sachet-Parampara, Parampara Tandon, Kausar Munir</t>
        </is>
      </c>
    </row>
    <row r="22">
      <c r="A22" s="0" t="inlineStr">
        <is>
          <t>2026-03-15</t>
        </is>
      </c>
      <c r="B22" s="0" t="n">
        <v>21</v>
      </c>
      <c r="C22" s="0" t="inlineStr">
        <is>
          <t>Tere Liye</t>
        </is>
      </c>
      <c r="D22" s="0" t="inlineStr">
        <is>
          <t>Atif Aslam, Shreya Ghoshal, Sachin Gupta, Sameer Anjaan</t>
        </is>
      </c>
    </row>
    <row r="23">
      <c r="A23" s="0" t="inlineStr">
        <is>
          <t>2026-03-15</t>
        </is>
      </c>
      <c r="B23" s="0" t="n">
        <v>22</v>
      </c>
      <c r="C23" s="0" t="inlineStr">
        <is>
          <t>Dhurandhar - Title Track</t>
        </is>
      </c>
      <c r="D23" s="0" t="inlineStr">
        <is>
          <t>Shashwat Sachdev, Hanumankind, Jasmine Sandlas, Sudhir Yaduvanshi, Charanjit Ahuja, Muhammad Sadiq, Ranjit Kaur, Babu Singh Maan</t>
        </is>
      </c>
    </row>
    <row r="24">
      <c r="A24" s="0" t="inlineStr">
        <is>
          <t>2026-03-15</t>
        </is>
      </c>
      <c r="B24" s="0" t="n">
        <v>23</v>
      </c>
      <c r="C24" s="0" t="inlineStr">
        <is>
          <t>Jo Tum Mere Ho</t>
        </is>
      </c>
      <c r="D24" s="0" t="inlineStr">
        <is>
          <t>Anuv Jain</t>
        </is>
      </c>
    </row>
    <row r="25">
      <c r="A25" s="0" t="inlineStr">
        <is>
          <t>2026-03-15</t>
        </is>
      </c>
      <c r="B25" s="0" t="n">
        <v>24</v>
      </c>
      <c r="C25" s="0" t="inlineStr">
        <is>
          <t>Tere Bina</t>
        </is>
      </c>
      <c r="D25" s="0" t="inlineStr">
        <is>
          <t>A.R. Rahman, Chinmayi, Murtuza Khan, Qadir Khan</t>
        </is>
      </c>
    </row>
    <row r="26">
      <c r="A26" s="0" t="inlineStr">
        <is>
          <t>2026-03-15</t>
        </is>
      </c>
      <c r="B26" s="0" t="n">
        <v>25</v>
      </c>
      <c r="C26" s="0" t="inlineStr">
        <is>
          <t>Deewaana Deewaana</t>
        </is>
      </c>
      <c r="D26" s="0" t="inlineStr">
        <is>
          <t>A.R. Rahman, Irshad Kamil</t>
        </is>
      </c>
    </row>
    <row r="27">
      <c r="A27" s="0" t="inlineStr">
        <is>
          <t>2026-03-15</t>
        </is>
      </c>
      <c r="B27" s="0" t="n">
        <v>26</v>
      </c>
      <c r="C27" s="0" t="inlineStr">
        <is>
          <t>Pavazha Malli - From "Think Indie"</t>
        </is>
      </c>
      <c r="D27" s="0" t="inlineStr">
        <is>
          <t>Sai Abhyankkar, Shruti Haasan, Vivek</t>
        </is>
      </c>
    </row>
    <row r="28">
      <c r="A28" s="0" t="inlineStr">
        <is>
          <t>2026-03-15</t>
        </is>
      </c>
      <c r="B28" s="0" t="n">
        <v>27</v>
      </c>
      <c r="C28" s="0" t="inlineStr">
        <is>
          <t>Aaya Sher (From "The Paradise") (Telugu)</t>
        </is>
      </c>
      <c r="D28" s="0" t="inlineStr">
        <is>
          <t>Anirudh Ravichander, Jangi Reddy, Arjun Chandy, Kasarla Shyam</t>
        </is>
      </c>
    </row>
    <row r="29">
      <c r="A29" s="0" t="inlineStr">
        <is>
          <t>2026-03-15</t>
        </is>
      </c>
      <c r="B29" s="0" t="n">
        <v>28</v>
      </c>
      <c r="C29" s="0" t="inlineStr">
        <is>
          <t>Agar Tum Saath Ho (From "Tamasha")</t>
        </is>
      </c>
      <c r="D29" s="0" t="inlineStr">
        <is>
          <t>Alka Yagnik, Arijit Singh</t>
        </is>
      </c>
    </row>
    <row r="30">
      <c r="A30" s="0" t="inlineStr">
        <is>
          <t>2026-03-15</t>
        </is>
      </c>
      <c r="B30" s="0" t="n">
        <v>29</v>
      </c>
      <c r="C30" s="0" t="inlineStr">
        <is>
          <t>Haseen</t>
        </is>
      </c>
      <c r="D30" s="0" t="inlineStr">
        <is>
          <t>Talwiinder, NDS, Rippy Grewal</t>
        </is>
      </c>
    </row>
    <row r="31">
      <c r="A31" s="0" t="inlineStr">
        <is>
          <t>2026-03-15</t>
        </is>
      </c>
      <c r="B31" s="0" t="n">
        <v>30</v>
      </c>
      <c r="C31" s="0" t="inlineStr">
        <is>
          <t>Tum Ho Toh (From "Saiyaara")</t>
        </is>
      </c>
      <c r="D31" s="0" t="inlineStr">
        <is>
          <t>Vishal Mishra, Hansika Pareek, Raj Shekhar</t>
        </is>
      </c>
    </row>
    <row r="32">
      <c r="A32" s="0" t="inlineStr">
        <is>
          <t>2026-03-15</t>
        </is>
      </c>
      <c r="B32" s="0" t="n">
        <v>31</v>
      </c>
      <c r="C32" s="0" t="inlineStr">
        <is>
          <t>Ye Tune Kya Kiya</t>
        </is>
      </c>
      <c r="D32" s="0" t="inlineStr">
        <is>
          <t>Pritam, Javed Bashir, Rajat Arora</t>
        </is>
      </c>
    </row>
    <row r="33">
      <c r="A33" s="0" t="inlineStr">
        <is>
          <t>2026-03-15</t>
        </is>
      </c>
      <c r="B33" s="0" t="n">
        <v>32</v>
      </c>
      <c r="C33" s="0" t="inlineStr">
        <is>
          <t>Not Guilty</t>
        </is>
      </c>
      <c r="D33" s="0" t="inlineStr">
        <is>
          <t>Dhanda Nyoliwala</t>
        </is>
      </c>
    </row>
    <row r="34">
      <c r="A34" s="0" t="inlineStr">
        <is>
          <t>2026-03-15</t>
        </is>
      </c>
      <c r="B34" s="0" t="n">
        <v>33</v>
      </c>
      <c r="C34" s="0" t="inlineStr">
        <is>
          <t>Zaalima</t>
        </is>
      </c>
      <c r="D34" s="0" t="inlineStr">
        <is>
          <t>Arijit Singh, Harshdeep Kaur</t>
        </is>
      </c>
    </row>
    <row r="35">
      <c r="A35" s="0" t="inlineStr">
        <is>
          <t>2026-03-15</t>
        </is>
      </c>
      <c r="B35" s="0" t="n">
        <v>34</v>
      </c>
      <c r="C35" s="0" t="inlineStr">
        <is>
          <t>Darkhaast</t>
        </is>
      </c>
      <c r="D35" s="0" t="inlineStr">
        <is>
          <t>Mithoon, Arijit Singh, Sunidhi Chauhan, Sayeed Quadri</t>
        </is>
      </c>
    </row>
    <row r="36">
      <c r="A36" s="0" t="inlineStr">
        <is>
          <t>2026-03-15</t>
        </is>
      </c>
      <c r="B36" s="0" t="n">
        <v>35</v>
      </c>
      <c r="C36" s="0" t="inlineStr">
        <is>
          <t>Tu Na Samjhe</t>
        </is>
      </c>
      <c r="D36" s="0" t="inlineStr">
        <is>
          <t>Hellow Raja, MaxxTurnn</t>
        </is>
      </c>
    </row>
    <row r="37">
      <c r="A37" s="0" t="inlineStr">
        <is>
          <t>2026-03-15</t>
        </is>
      </c>
      <c r="B37" s="0" t="n">
        <v>36</v>
      </c>
      <c r="C37" s="0" t="inlineStr">
        <is>
          <t>KALYANI</t>
        </is>
      </c>
      <c r="D37" s="0" t="inlineStr">
        <is>
          <t>ARJN, KDS, FIFTY4, RONN</t>
        </is>
      </c>
    </row>
    <row r="38">
      <c r="A38" s="0" t="inlineStr">
        <is>
          <t>2026-03-15</t>
        </is>
      </c>
      <c r="B38" s="0" t="n">
        <v>37</v>
      </c>
      <c r="C38" s="0" t="inlineStr">
        <is>
          <t>Ehsaas</t>
        </is>
      </c>
      <c r="D38" s="0" t="inlineStr">
        <is>
          <t>Faheem Abdullah, Duha Shah, Vaibhav Pani, Hyder Dar</t>
        </is>
      </c>
    </row>
    <row r="39">
      <c r="A39" s="0" t="inlineStr">
        <is>
          <t>2026-03-15</t>
        </is>
      </c>
      <c r="B39" s="0" t="n">
        <v>38</v>
      </c>
      <c r="C39" s="0" t="inlineStr">
        <is>
          <t>Mast Magan (From "2 States)</t>
        </is>
      </c>
      <c r="D39" s="0" t="inlineStr">
        <is>
          <t>Arijit Singh, Chinmayi</t>
        </is>
      </c>
    </row>
    <row r="40">
      <c r="A40" s="0" t="inlineStr">
        <is>
          <t>2026-03-15</t>
        </is>
      </c>
      <c r="B40" s="0" t="n">
        <v>39</v>
      </c>
      <c r="C40" s="0" t="inlineStr">
        <is>
          <t>Lutt Le Gaya</t>
        </is>
      </c>
      <c r="D40" s="0" t="inlineStr">
        <is>
          <t>Shashwat Sachdev, Simran Choudhary</t>
        </is>
      </c>
    </row>
    <row r="41">
      <c r="A41" s="0" t="inlineStr">
        <is>
          <t>2026-03-15</t>
        </is>
      </c>
      <c r="B41" s="0" t="n">
        <v>40</v>
      </c>
      <c r="C41" s="0" t="inlineStr">
        <is>
          <t>Barbaad (From "Saiyaara")</t>
        </is>
      </c>
      <c r="D41" s="0" t="inlineStr">
        <is>
          <t>The Rish, Jubin Nautiyal</t>
        </is>
      </c>
    </row>
    <row r="42">
      <c r="A42" s="0" t="inlineStr">
        <is>
          <t>2026-03-15</t>
        </is>
      </c>
      <c r="B42" s="0" t="n">
        <v>41</v>
      </c>
      <c r="C42" s="0" t="inlineStr">
        <is>
          <t>Teri Deewani</t>
        </is>
      </c>
      <c r="D42" s="0" t="inlineStr">
        <is>
          <t>Kailash Kher, Paresh Kamath, Naresh Kamath</t>
        </is>
      </c>
    </row>
    <row r="43">
      <c r="A43" s="0" t="inlineStr">
        <is>
          <t>2026-03-15</t>
        </is>
      </c>
      <c r="B43" s="0" t="n">
        <v>42</v>
      </c>
      <c r="C43" s="0" t="inlineStr">
        <is>
          <t>Naal Nachna</t>
        </is>
      </c>
      <c r="D43" s="0" t="inlineStr">
        <is>
          <t>Shashwat Sachdev, Afsana Khan, Irshad Kamil, Reble</t>
        </is>
      </c>
    </row>
    <row r="44">
      <c r="A44" s="0" t="inlineStr">
        <is>
          <t>2026-03-15</t>
        </is>
      </c>
      <c r="B44" s="0" t="n">
        <v>43</v>
      </c>
      <c r="C44" s="0" t="inlineStr">
        <is>
          <t>Humdard (From "Ek Villain")</t>
        </is>
      </c>
      <c r="D44" s="0" t="inlineStr">
        <is>
          <t>Arijit Singh</t>
        </is>
      </c>
    </row>
    <row r="45">
      <c r="A45" s="0" t="inlineStr">
        <is>
          <t>2026-03-15</t>
        </is>
      </c>
      <c r="B45" s="0" t="n">
        <v>44</v>
      </c>
      <c r="C45" s="0" t="inlineStr">
        <is>
          <t>Thodi Si Daaru</t>
        </is>
      </c>
      <c r="D45" s="0" t="inlineStr">
        <is>
          <t>AP Dhillon, Shreya Ghoshal</t>
        </is>
      </c>
    </row>
    <row r="46">
      <c r="A46" s="0" t="inlineStr">
        <is>
          <t>2026-03-15</t>
        </is>
      </c>
      <c r="B46" s="0" t="n">
        <v>45</v>
      </c>
      <c r="C46" s="0" t="inlineStr">
        <is>
          <t>Ishq Jalakar - Karvaan</t>
        </is>
      </c>
      <c r="D46" s="0" t="inlineStr">
        <is>
          <t>Shashwat Sachdev, Shahzad Ali, Subhadeep Das Chowdhury, Armaan Khan, Irshad Kamil, Roshan, Sahir Ludhianvi</t>
        </is>
      </c>
    </row>
    <row r="47">
      <c r="A47" s="0" t="inlineStr">
        <is>
          <t>2026-03-15</t>
        </is>
      </c>
      <c r="B47" s="0" t="n">
        <v>46</v>
      </c>
      <c r="C47" s="0" t="inlineStr">
        <is>
          <t>Kithe Reh Gaya</t>
        </is>
      </c>
      <c r="D47" s="0" t="inlineStr">
        <is>
          <t>Neeti Mohan, Abhijit Vaghani</t>
        </is>
      </c>
    </row>
    <row r="48">
      <c r="A48" s="0" t="inlineStr">
        <is>
          <t>2026-03-15</t>
        </is>
      </c>
      <c r="B48" s="0" t="n">
        <v>47</v>
      </c>
      <c r="C48" s="0" t="inlineStr">
        <is>
          <t>Mann Mera - Original Version</t>
        </is>
      </c>
      <c r="D48" s="0" t="inlineStr">
        <is>
          <t>Gajendra Verma</t>
        </is>
      </c>
    </row>
    <row r="49">
      <c r="A49" s="0" t="inlineStr">
        <is>
          <t>2026-03-15</t>
        </is>
      </c>
      <c r="B49" s="0" t="n">
        <v>48</v>
      </c>
      <c r="C49" s="0" t="inlineStr">
        <is>
          <t>Jhol - Acoustic</t>
        </is>
      </c>
      <c r="D49" s="0" t="inlineStr">
        <is>
          <t>Maanu, Annural Khalid, Abdullah Siddiqui</t>
        </is>
      </c>
    </row>
    <row r="50">
      <c r="A50" s="0" t="inlineStr">
        <is>
          <t>2026-03-15</t>
        </is>
      </c>
      <c r="B50" s="0" t="n">
        <v>49</v>
      </c>
      <c r="C50" s="0" t="inlineStr">
        <is>
          <t>Dhun (From "Saiyaara")</t>
        </is>
      </c>
      <c r="D50" s="0" t="inlineStr">
        <is>
          <t>Mithoon, Arijit Singh</t>
        </is>
      </c>
    </row>
    <row r="51">
      <c r="A51" s="0" t="inlineStr">
        <is>
          <t>2026-03-15</t>
        </is>
      </c>
      <c r="B51" s="0" t="n">
        <v>50</v>
      </c>
      <c r="C51" s="0" t="inlineStr">
        <is>
          <t>High On You</t>
        </is>
      </c>
      <c r="D51" s="0" t="inlineStr">
        <is>
          <t>Jind Universe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Date</t>
        </is>
      </c>
      <c r="B1" s="24" t="inlineStr">
        <is>
          <t>Rank</t>
        </is>
      </c>
      <c r="C1" s="24" t="inlineStr">
        <is>
          <t>Song</t>
        </is>
      </c>
      <c r="D1" s="24" t="inlineStr">
        <is>
          <t>Artist</t>
        </is>
      </c>
    </row>
    <row r="2">
      <c r="A2" s="0" t="inlineStr">
        <is>
          <t>2026-03-16</t>
        </is>
      </c>
      <c r="B2" s="0" t="n">
        <v>1</v>
      </c>
      <c r="C2" s="0" t="inlineStr">
        <is>
          <t>Bairan</t>
        </is>
      </c>
      <c r="D2" s="0" t="inlineStr">
        <is>
          <t>Banjaare</t>
        </is>
      </c>
    </row>
    <row r="3">
      <c r="A3" s="0" t="inlineStr">
        <is>
          <t>2026-03-16</t>
        </is>
      </c>
      <c r="B3" s="0" t="n">
        <v>2</v>
      </c>
      <c r="C3" s="0" t="inlineStr">
        <is>
          <t>Sheesha - Aakhya Mai Aakh Ghali Jo Bairan</t>
        </is>
      </c>
      <c r="D3" s="0" t="inlineStr">
        <is>
          <t>Mitta Ror, Swara Verma</t>
        </is>
      </c>
    </row>
    <row r="4">
      <c r="A4" s="0" t="inlineStr">
        <is>
          <t>2026-03-16</t>
        </is>
      </c>
      <c r="B4" s="0" t="n">
        <v>3</v>
      </c>
      <c r="C4" s="0" t="inlineStr">
        <is>
          <t>Gehra Hua</t>
        </is>
      </c>
      <c r="D4" s="0" t="inlineStr">
        <is>
          <t>Shashwat Sachdev, Arijit Singh, Irshad Kamil, Armaan Khan</t>
        </is>
      </c>
    </row>
    <row r="5">
      <c r="A5" s="0" t="inlineStr">
        <is>
          <t>2026-03-16</t>
        </is>
      </c>
      <c r="B5" s="0" t="n">
        <v>4</v>
      </c>
      <c r="C5" s="0" t="inlineStr">
        <is>
          <t>Dooron Dooron</t>
        </is>
      </c>
      <c r="D5" s="0" t="inlineStr">
        <is>
          <t>Paresh Pahuja, Shiv Tandan, Meghdeep Bose</t>
        </is>
      </c>
    </row>
    <row r="6">
      <c r="A6" s="0" t="inlineStr">
        <is>
          <t>2026-03-16</t>
        </is>
      </c>
      <c r="B6" s="0" t="n">
        <v>5</v>
      </c>
      <c r="C6" s="0" t="inlineStr">
        <is>
          <t>Khat</t>
        </is>
      </c>
      <c r="D6" s="0" t="inlineStr">
        <is>
          <t>Navjot Ahuja</t>
        </is>
      </c>
    </row>
    <row r="7">
      <c r="A7" s="0" t="inlineStr">
        <is>
          <t>2026-03-16</t>
        </is>
      </c>
      <c r="B7" s="0" t="n">
        <v>6</v>
      </c>
      <c r="C7" s="0" t="inlineStr">
        <is>
          <t>Sahiba</t>
        </is>
      </c>
      <c r="D7" s="0" t="inlineStr">
        <is>
          <t>Aditya Rikhari</t>
        </is>
      </c>
    </row>
    <row r="8">
      <c r="A8" s="0" t="inlineStr">
        <is>
          <t>2026-03-16</t>
        </is>
      </c>
      <c r="B8" s="0" t="n">
        <v>7</v>
      </c>
      <c r="C8" s="0" t="inlineStr">
        <is>
          <t>Samjhawan</t>
        </is>
      </c>
      <c r="D8" s="0" t="inlineStr">
        <is>
          <t>Jawad Ahmad, Shaarib Toshi, Arijit Singh, Shreya Ghoshal</t>
        </is>
      </c>
    </row>
    <row r="9">
      <c r="A9" s="0" t="inlineStr">
        <is>
          <t>2026-03-16</t>
        </is>
      </c>
      <c r="B9" s="0" t="n">
        <v>8</v>
      </c>
      <c r="C9" s="0" t="inlineStr">
        <is>
          <t>Sitaare (From "Ikkis")</t>
        </is>
      </c>
      <c r="D9" s="0" t="inlineStr">
        <is>
          <t>Arijit Singh, White Noise Collectives, Amitabh Bhattacharya</t>
        </is>
      </c>
    </row>
    <row r="10">
      <c r="A10" s="0" t="inlineStr">
        <is>
          <t>2026-03-16</t>
        </is>
      </c>
      <c r="B10" s="0" t="n">
        <v>9</v>
      </c>
      <c r="C10" s="0" t="inlineStr">
        <is>
          <t>Apna Bana Le</t>
        </is>
      </c>
      <c r="D10" s="0" t="inlineStr">
        <is>
          <t>Sachin-Jigar, Arijit Singh, Amitabh Bhattacharya</t>
        </is>
      </c>
    </row>
    <row r="11">
      <c r="A11" s="0" t="inlineStr">
        <is>
          <t>2026-03-16</t>
        </is>
      </c>
      <c r="B11" s="0" t="n">
        <v>10</v>
      </c>
      <c r="C11" s="0" t="inlineStr">
        <is>
          <t>Finding Her</t>
        </is>
      </c>
      <c r="D11" s="0" t="inlineStr">
        <is>
          <t>Kushagra, Bharath, Saaheal</t>
        </is>
      </c>
    </row>
    <row r="12">
      <c r="A12" s="0" t="inlineStr">
        <is>
          <t>2026-03-16</t>
        </is>
      </c>
      <c r="B12" s="0" t="n">
        <v>11</v>
      </c>
      <c r="C12" s="0" t="inlineStr">
        <is>
          <t>Arz Kiya Hai | Coke Studio Bharat</t>
        </is>
      </c>
      <c r="D12" s="0" t="inlineStr">
        <is>
          <t>Anuv Jain</t>
        </is>
      </c>
    </row>
    <row r="13">
      <c r="A13" s="0" t="inlineStr">
        <is>
          <t>2026-03-16</t>
        </is>
      </c>
      <c r="B13" s="0" t="n">
        <v>12</v>
      </c>
      <c r="C13" s="0" t="inlineStr">
        <is>
          <t>Shararat</t>
        </is>
      </c>
      <c r="D13" s="0" t="inlineStr">
        <is>
          <t>Shashwat Sachdev, Madhubanti Bagchi, Jasmine Sandlas</t>
        </is>
      </c>
    </row>
    <row r="14">
      <c r="A14" s="0" t="inlineStr">
        <is>
          <t>2026-03-16</t>
        </is>
      </c>
      <c r="B14" s="0" t="n">
        <v>13</v>
      </c>
      <c r="C14" s="0" t="inlineStr">
        <is>
          <t>Bairi</t>
        </is>
      </c>
      <c r="D14" s="0" t="inlineStr">
        <is>
          <t>Virat, Pradeep Solanki, Heena</t>
        </is>
      </c>
    </row>
    <row r="15">
      <c r="A15" s="0" t="inlineStr">
        <is>
          <t>2026-03-16</t>
        </is>
      </c>
      <c r="B15" s="0" t="n">
        <v>14</v>
      </c>
      <c r="C15" s="0" t="inlineStr">
        <is>
          <t>Ishq</t>
        </is>
      </c>
      <c r="D15" s="0" t="inlineStr">
        <is>
          <t>Faheem Abdullah, Rauhan Malik, Amir Ameer</t>
        </is>
      </c>
    </row>
    <row r="16">
      <c r="A16" s="0" t="inlineStr">
        <is>
          <t>2026-03-16</t>
        </is>
      </c>
      <c r="B16" s="0" t="n">
        <v>15</v>
      </c>
      <c r="C16" s="0" t="inlineStr">
        <is>
          <t>For A Reason</t>
        </is>
      </c>
      <c r="D16" s="0" t="inlineStr">
        <is>
          <t>Karan Aujla, Ikky</t>
        </is>
      </c>
    </row>
    <row r="17">
      <c r="A17" s="0" t="inlineStr">
        <is>
          <t>2026-03-16</t>
        </is>
      </c>
      <c r="B17" s="0" t="n">
        <v>16</v>
      </c>
      <c r="C17" s="0" t="inlineStr">
        <is>
          <t>Boyfriend</t>
        </is>
      </c>
      <c r="D17" s="0" t="inlineStr">
        <is>
          <t>Karan Aujla, Ikky</t>
        </is>
      </c>
    </row>
    <row r="18">
      <c r="A18" s="0" t="inlineStr">
        <is>
          <t>2026-03-16</t>
        </is>
      </c>
      <c r="B18" s="0" t="n">
        <v>17</v>
      </c>
      <c r="C18" s="0" t="inlineStr">
        <is>
          <t>Saiyaara</t>
        </is>
      </c>
      <c r="D18" s="0" t="inlineStr">
        <is>
          <t>Tanishk Bagchi, Faheem Abdullah, Arslan Nizami, Irshad Kamil</t>
        </is>
      </c>
    </row>
    <row r="19">
      <c r="A19" s="0" t="inlineStr">
        <is>
          <t>2026-03-16</t>
        </is>
      </c>
      <c r="B19" s="0" t="n">
        <v>18</v>
      </c>
      <c r="C19" s="0" t="inlineStr">
        <is>
          <t>Mann Mera</t>
        </is>
      </c>
      <c r="D19" s="0" t="inlineStr">
        <is>
          <t>Gajendra Verma</t>
        </is>
      </c>
    </row>
    <row r="20">
      <c r="A20" s="0" t="inlineStr">
        <is>
          <t>2026-03-16</t>
        </is>
      </c>
      <c r="B20" s="0" t="n">
        <v>19</v>
      </c>
      <c r="C20" s="0" t="inlineStr">
        <is>
          <t>Raanjhan (From "Do Patti")</t>
        </is>
      </c>
      <c r="D20" s="0" t="inlineStr">
        <is>
          <t>Sachet-Parampara, Parampara Tandon, Kausar Munir</t>
        </is>
      </c>
    </row>
    <row r="21">
      <c r="A21" s="0" t="inlineStr">
        <is>
          <t>2026-03-16</t>
        </is>
      </c>
      <c r="B21" s="0" t="n">
        <v>20</v>
      </c>
      <c r="C21" s="0" t="inlineStr">
        <is>
          <t>Ishqa Ve</t>
        </is>
      </c>
      <c r="D21" s="0" t="inlineStr">
        <is>
          <t>Zeeshan Ali, Yuvraj Tung, Sandeep Aulakh, Honey Dhillon</t>
        </is>
      </c>
    </row>
    <row r="22">
      <c r="A22" s="0" t="inlineStr">
        <is>
          <t>2026-03-16</t>
        </is>
      </c>
      <c r="B22" s="0" t="n">
        <v>21</v>
      </c>
      <c r="C22" s="0" t="inlineStr">
        <is>
          <t>Tere Liye</t>
        </is>
      </c>
      <c r="D22" s="0" t="inlineStr">
        <is>
          <t>Atif Aslam, Shreya Ghoshal, Sachin Gupta, Sameer Anjaan</t>
        </is>
      </c>
    </row>
    <row r="23">
      <c r="A23" s="0" t="inlineStr">
        <is>
          <t>2026-03-16</t>
        </is>
      </c>
      <c r="B23" s="0" t="n">
        <v>22</v>
      </c>
      <c r="C23" s="0" t="inlineStr">
        <is>
          <t>Pavazha Malli - From "Think Indie"</t>
        </is>
      </c>
      <c r="D23" s="0" t="inlineStr">
        <is>
          <t>Sai Abhyankkar, Shruti Haasan, Vivek</t>
        </is>
      </c>
    </row>
    <row r="24">
      <c r="A24" s="0" t="inlineStr">
        <is>
          <t>2026-03-16</t>
        </is>
      </c>
      <c r="B24" s="0" t="n">
        <v>23</v>
      </c>
      <c r="C24" s="0" t="inlineStr">
        <is>
          <t>Dhurandhar - Title Track</t>
        </is>
      </c>
      <c r="D24" s="0" t="inlineStr">
        <is>
          <t>Shashwat Sachdev, Hanumankind, Jasmine Sandlas, Sudhir Yaduvanshi, Charanjit Ahuja, Muhammad Sadiq, Ranjit Kaur, Babu Singh Maan</t>
        </is>
      </c>
    </row>
    <row r="25">
      <c r="A25" s="0" t="inlineStr">
        <is>
          <t>2026-03-16</t>
        </is>
      </c>
      <c r="B25" s="0" t="n">
        <v>24</v>
      </c>
      <c r="C25" s="0" t="inlineStr">
        <is>
          <t>Deewaana Deewaana</t>
        </is>
      </c>
      <c r="D25" s="0" t="inlineStr">
        <is>
          <t>A.R. Rahman, Irshad Kamil</t>
        </is>
      </c>
    </row>
    <row r="26">
      <c r="A26" s="0" t="inlineStr">
        <is>
          <t>2026-03-16</t>
        </is>
      </c>
      <c r="B26" s="0" t="n">
        <v>25</v>
      </c>
      <c r="C26" s="0" t="inlineStr">
        <is>
          <t>Jo Tum Mere Ho</t>
        </is>
      </c>
      <c r="D26" s="0" t="inlineStr">
        <is>
          <t>Anuv Jain</t>
        </is>
      </c>
    </row>
    <row r="27">
      <c r="A27" s="0" t="inlineStr">
        <is>
          <t>2026-03-16</t>
        </is>
      </c>
      <c r="B27" s="0" t="n">
        <v>26</v>
      </c>
      <c r="C27" s="0" t="inlineStr">
        <is>
          <t>Tere Bina</t>
        </is>
      </c>
      <c r="D27" s="0" t="inlineStr">
        <is>
          <t>A.R. Rahman, Chinmayi, Murtuza Khan, Qadir Khan</t>
        </is>
      </c>
    </row>
    <row r="28">
      <c r="A28" s="0" t="inlineStr">
        <is>
          <t>2026-03-16</t>
        </is>
      </c>
      <c r="B28" s="0" t="n">
        <v>27</v>
      </c>
      <c r="C28" s="0" t="inlineStr">
        <is>
          <t>Agar Tum Saath Ho (From "Tamasha")</t>
        </is>
      </c>
      <c r="D28" s="0" t="inlineStr">
        <is>
          <t>Alka Yagnik, Arijit Singh</t>
        </is>
      </c>
    </row>
    <row r="29">
      <c r="A29" s="0" t="inlineStr">
        <is>
          <t>2026-03-16</t>
        </is>
      </c>
      <c r="B29" s="0" t="n">
        <v>28</v>
      </c>
      <c r="C29" s="0" t="inlineStr">
        <is>
          <t>Aaya Sher (From "The Paradise") (Telugu)</t>
        </is>
      </c>
      <c r="D29" s="0" t="inlineStr">
        <is>
          <t>Anirudh Ravichander, Jangi Reddy, Arjun Chandy, Kasarla Shyam</t>
        </is>
      </c>
    </row>
    <row r="30">
      <c r="A30" s="0" t="inlineStr">
        <is>
          <t>2026-03-16</t>
        </is>
      </c>
      <c r="B30" s="0" t="n">
        <v>29</v>
      </c>
      <c r="C30" s="0" t="inlineStr">
        <is>
          <t>Haseen</t>
        </is>
      </c>
      <c r="D30" s="0" t="inlineStr">
        <is>
          <t>Talwiinder, NDS, Rippy Grewal</t>
        </is>
      </c>
    </row>
    <row r="31">
      <c r="A31" s="0" t="inlineStr">
        <is>
          <t>2026-03-16</t>
        </is>
      </c>
      <c r="B31" s="0" t="n">
        <v>30</v>
      </c>
      <c r="C31" s="0" t="inlineStr">
        <is>
          <t>Tum Ho Toh (From "Saiyaara")</t>
        </is>
      </c>
      <c r="D31" s="0" t="inlineStr">
        <is>
          <t>Vishal Mishra, Hansika Pareek, Raj Shekhar</t>
        </is>
      </c>
    </row>
    <row r="32">
      <c r="A32" s="0" t="inlineStr">
        <is>
          <t>2026-03-16</t>
        </is>
      </c>
      <c r="B32" s="0" t="n">
        <v>31</v>
      </c>
      <c r="C32" s="0" t="inlineStr">
        <is>
          <t>Darkhaast</t>
        </is>
      </c>
      <c r="D32" s="0" t="inlineStr">
        <is>
          <t>Mithoon, Arijit Singh, Sunidhi Chauhan, Sayeed Quadri</t>
        </is>
      </c>
    </row>
    <row r="33">
      <c r="A33" s="0" t="inlineStr">
        <is>
          <t>2026-03-16</t>
        </is>
      </c>
      <c r="B33" s="0" t="n">
        <v>32</v>
      </c>
      <c r="C33" s="0" t="inlineStr">
        <is>
          <t>Not Guilty</t>
        </is>
      </c>
      <c r="D33" s="0" t="inlineStr">
        <is>
          <t>Dhanda Nyoliwala</t>
        </is>
      </c>
    </row>
    <row r="34">
      <c r="A34" s="0" t="inlineStr">
        <is>
          <t>2026-03-16</t>
        </is>
      </c>
      <c r="B34" s="0" t="n">
        <v>33</v>
      </c>
      <c r="C34" s="0" t="inlineStr">
        <is>
          <t>Ye Tune Kya Kiya</t>
        </is>
      </c>
      <c r="D34" s="0" t="inlineStr">
        <is>
          <t>Pritam, Javed Bashir, Rajat Arora</t>
        </is>
      </c>
    </row>
    <row r="35">
      <c r="A35" s="0" t="inlineStr">
        <is>
          <t>2026-03-16</t>
        </is>
      </c>
      <c r="B35" s="0" t="n">
        <v>34</v>
      </c>
      <c r="C35" s="0" t="inlineStr">
        <is>
          <t>Naal Nachna</t>
        </is>
      </c>
      <c r="D35" s="0" t="inlineStr">
        <is>
          <t>Shashwat Sachdev, Afsana Khan, Irshad Kamil, Reble</t>
        </is>
      </c>
    </row>
    <row r="36">
      <c r="A36" s="0" t="inlineStr">
        <is>
          <t>2026-03-16</t>
        </is>
      </c>
      <c r="B36" s="0" t="n">
        <v>35</v>
      </c>
      <c r="C36" s="0" t="inlineStr">
        <is>
          <t>Barbaad (From "Saiyaara")</t>
        </is>
      </c>
      <c r="D36" s="0" t="inlineStr">
        <is>
          <t>The Rish, Jubin Nautiyal</t>
        </is>
      </c>
    </row>
    <row r="37">
      <c r="A37" s="0" t="inlineStr">
        <is>
          <t>2026-03-16</t>
        </is>
      </c>
      <c r="B37" s="0" t="n">
        <v>36</v>
      </c>
      <c r="C37" s="0" t="inlineStr">
        <is>
          <t>Ehsaas</t>
        </is>
      </c>
      <c r="D37" s="0" t="inlineStr">
        <is>
          <t>Faheem Abdullah, Duha Shah, Vaibhav Pani, Hyder Dar</t>
        </is>
      </c>
    </row>
    <row r="38">
      <c r="A38" s="0" t="inlineStr">
        <is>
          <t>2026-03-16</t>
        </is>
      </c>
      <c r="B38" s="0" t="n">
        <v>37</v>
      </c>
      <c r="C38" s="0" t="inlineStr">
        <is>
          <t>Zaalima</t>
        </is>
      </c>
      <c r="D38" s="0" t="inlineStr">
        <is>
          <t>Arijit Singh, Harshdeep Kaur</t>
        </is>
      </c>
    </row>
    <row r="39">
      <c r="A39" s="0" t="inlineStr">
        <is>
          <t>2026-03-16</t>
        </is>
      </c>
      <c r="B39" s="0" t="n">
        <v>38</v>
      </c>
      <c r="C39" s="0" t="inlineStr">
        <is>
          <t>Mast Magan (From "2 States)</t>
        </is>
      </c>
      <c r="D39" s="0" t="inlineStr">
        <is>
          <t>Arijit Singh, Chinmayi</t>
        </is>
      </c>
    </row>
    <row r="40">
      <c r="A40" s="0" t="inlineStr">
        <is>
          <t>2026-03-16</t>
        </is>
      </c>
      <c r="B40" s="0" t="n">
        <v>39</v>
      </c>
      <c r="C40" s="0" t="inlineStr">
        <is>
          <t>Lutt Le Gaya</t>
        </is>
      </c>
      <c r="D40" s="0" t="inlineStr">
        <is>
          <t>Shashwat Sachdev, Simran Choudhary</t>
        </is>
      </c>
    </row>
    <row r="41">
      <c r="A41" s="0" t="inlineStr">
        <is>
          <t>2026-03-16</t>
        </is>
      </c>
      <c r="B41" s="0" t="n">
        <v>40</v>
      </c>
      <c r="C41" s="0" t="inlineStr">
        <is>
          <t>Teri Deewani</t>
        </is>
      </c>
      <c r="D41" s="0" t="inlineStr">
        <is>
          <t>Kailash Kher, Paresh Kamath, Naresh Kamath</t>
        </is>
      </c>
    </row>
    <row r="42">
      <c r="A42" s="0" t="inlineStr">
        <is>
          <t>2026-03-16</t>
        </is>
      </c>
      <c r="B42" s="0" t="n">
        <v>41</v>
      </c>
      <c r="C42" s="0" t="inlineStr">
        <is>
          <t>Humdard (From "Ek Villain")</t>
        </is>
      </c>
      <c r="D42" s="0" t="inlineStr">
        <is>
          <t>Arijit Singh</t>
        </is>
      </c>
    </row>
    <row r="43">
      <c r="A43" s="0" t="inlineStr">
        <is>
          <t>2026-03-16</t>
        </is>
      </c>
      <c r="B43" s="0" t="n">
        <v>42</v>
      </c>
      <c r="C43" s="0" t="inlineStr">
        <is>
          <t>Thodi Si Daaru</t>
        </is>
      </c>
      <c r="D43" s="0" t="inlineStr">
        <is>
          <t>AP Dhillon, Shreya Ghoshal</t>
        </is>
      </c>
    </row>
    <row r="44">
      <c r="A44" s="0" t="inlineStr">
        <is>
          <t>2026-03-16</t>
        </is>
      </c>
      <c r="B44" s="0" t="n">
        <v>43</v>
      </c>
      <c r="C44" s="0" t="inlineStr">
        <is>
          <t>KALYANI</t>
        </is>
      </c>
      <c r="D44" s="0" t="inlineStr">
        <is>
          <t>ARJN, KDS, FIFTY4, RONN</t>
        </is>
      </c>
    </row>
    <row r="45">
      <c r="A45" s="0" t="inlineStr">
        <is>
          <t>2026-03-16</t>
        </is>
      </c>
      <c r="B45" s="0" t="n">
        <v>44</v>
      </c>
      <c r="C45" s="0" t="inlineStr">
        <is>
          <t>Ishq Jalakar - Karvaan</t>
        </is>
      </c>
      <c r="D45" s="0" t="inlineStr">
        <is>
          <t>Shashwat Sachdev, Shahzad Ali, Subhadeep Das Chowdhury, Armaan Khan, Irshad Kamil, Roshan, Sahir Ludhianvi</t>
        </is>
      </c>
    </row>
    <row r="46">
      <c r="A46" s="0" t="inlineStr">
        <is>
          <t>2026-03-16</t>
        </is>
      </c>
      <c r="B46" s="0" t="n">
        <v>45</v>
      </c>
      <c r="C46" s="0" t="inlineStr">
        <is>
          <t>Mann Mera - Original Version</t>
        </is>
      </c>
      <c r="D46" s="0" t="inlineStr">
        <is>
          <t>Gajendra Verma</t>
        </is>
      </c>
    </row>
    <row r="47">
      <c r="A47" s="0" t="inlineStr">
        <is>
          <t>2026-03-16</t>
        </is>
      </c>
      <c r="B47" s="0" t="n">
        <v>46</v>
      </c>
      <c r="C47" s="0" t="inlineStr">
        <is>
          <t>Kithe Reh Gaya</t>
        </is>
      </c>
      <c r="D47" s="0" t="inlineStr">
        <is>
          <t>Neeti Mohan, Abhijit Vaghani</t>
        </is>
      </c>
    </row>
    <row r="48">
      <c r="A48" s="0" t="inlineStr">
        <is>
          <t>2026-03-16</t>
        </is>
      </c>
      <c r="B48" s="0" t="n">
        <v>47</v>
      </c>
      <c r="C48" s="0" t="inlineStr">
        <is>
          <t>Aakh Ye Taalibaani</t>
        </is>
      </c>
      <c r="D48" s="0" t="inlineStr">
        <is>
          <t>Manish Sonipat Aala, Bali Sharma, Vampire</t>
        </is>
      </c>
    </row>
    <row r="49">
      <c r="A49" s="0" t="inlineStr">
        <is>
          <t>2026-03-16</t>
        </is>
      </c>
      <c r="B49" s="0" t="n">
        <v>48</v>
      </c>
      <c r="C49" s="0" t="inlineStr">
        <is>
          <t>Ucha Lamba Kad</t>
        </is>
      </c>
      <c r="D49" s="0" t="inlineStr">
        <is>
          <t>Anand Raj Anand, Kalpana Patowary, Chorus</t>
        </is>
      </c>
    </row>
    <row r="50">
      <c r="A50" s="0" t="inlineStr">
        <is>
          <t>2026-03-16</t>
        </is>
      </c>
      <c r="B50" s="0" t="n">
        <v>49</v>
      </c>
      <c r="C50" s="0" t="inlineStr">
        <is>
          <t>High On You</t>
        </is>
      </c>
      <c r="D50" s="0" t="inlineStr">
        <is>
          <t>Jind Universe</t>
        </is>
      </c>
    </row>
    <row r="51">
      <c r="A51" s="0" t="inlineStr">
        <is>
          <t>2026-03-16</t>
        </is>
      </c>
      <c r="B51" s="0" t="n">
        <v>50</v>
      </c>
      <c r="C51" s="0" t="inlineStr">
        <is>
          <t>Tu Na Samjhe</t>
        </is>
      </c>
      <c r="D51" s="0" t="inlineStr">
        <is>
          <t>Hellow Raja, MaxxTurnn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Date</t>
        </is>
      </c>
      <c r="B1" s="24" t="inlineStr">
        <is>
          <t>Rank</t>
        </is>
      </c>
      <c r="C1" s="24" t="inlineStr">
        <is>
          <t>Song</t>
        </is>
      </c>
      <c r="D1" s="24" t="inlineStr">
        <is>
          <t>Artist</t>
        </is>
      </c>
    </row>
    <row r="2">
      <c r="A2" s="0" t="inlineStr">
        <is>
          <t>2026-03-17</t>
        </is>
      </c>
      <c r="B2" s="0" t="n">
        <v>1</v>
      </c>
      <c r="C2" s="0" t="inlineStr">
        <is>
          <t>Bairan</t>
        </is>
      </c>
      <c r="D2" s="0" t="inlineStr">
        <is>
          <t>Banjaare</t>
        </is>
      </c>
    </row>
    <row r="3">
      <c r="A3" s="0" t="inlineStr">
        <is>
          <t>2026-03-17</t>
        </is>
      </c>
      <c r="B3" s="0" t="n">
        <v>2</v>
      </c>
      <c r="C3" s="0" t="inlineStr">
        <is>
          <t>Sheesha - Aakhya Mai Aakh Ghali Jo Bairan</t>
        </is>
      </c>
      <c r="D3" s="0" t="inlineStr">
        <is>
          <t>Mitta Ror, Swara Verma</t>
        </is>
      </c>
    </row>
    <row r="4">
      <c r="A4" s="0" t="inlineStr">
        <is>
          <t>2026-03-17</t>
        </is>
      </c>
      <c r="B4" s="0" t="n">
        <v>3</v>
      </c>
      <c r="C4" s="0" t="inlineStr">
        <is>
          <t>Gehra Hua</t>
        </is>
      </c>
      <c r="D4" s="0" t="inlineStr">
        <is>
          <t>Shashwat Sachdev, Arijit Singh, Irshad Kamil, Armaan Khan</t>
        </is>
      </c>
    </row>
    <row r="5">
      <c r="A5" s="0" t="inlineStr">
        <is>
          <t>2026-03-17</t>
        </is>
      </c>
      <c r="B5" s="0" t="n">
        <v>4</v>
      </c>
      <c r="C5" s="0" t="inlineStr">
        <is>
          <t>Dooron Dooron</t>
        </is>
      </c>
      <c r="D5" s="0" t="inlineStr">
        <is>
          <t>Paresh Pahuja, Shiv Tandan, Meghdeep Bose</t>
        </is>
      </c>
    </row>
    <row r="6">
      <c r="A6" s="0" t="inlineStr">
        <is>
          <t>2026-03-17</t>
        </is>
      </c>
      <c r="B6" s="0" t="n">
        <v>5</v>
      </c>
      <c r="C6" s="0" t="inlineStr">
        <is>
          <t>Khat</t>
        </is>
      </c>
      <c r="D6" s="0" t="inlineStr">
        <is>
          <t>Navjot Ahuja</t>
        </is>
      </c>
    </row>
    <row r="7">
      <c r="A7" s="0" t="inlineStr">
        <is>
          <t>2026-03-17</t>
        </is>
      </c>
      <c r="B7" s="0" t="n">
        <v>6</v>
      </c>
      <c r="C7" s="0" t="inlineStr">
        <is>
          <t>Sahiba</t>
        </is>
      </c>
      <c r="D7" s="0" t="inlineStr">
        <is>
          <t>Aditya Rikhari</t>
        </is>
      </c>
    </row>
    <row r="8">
      <c r="A8" s="0" t="inlineStr">
        <is>
          <t>2026-03-17</t>
        </is>
      </c>
      <c r="B8" s="0" t="n">
        <v>7</v>
      </c>
      <c r="C8" s="0" t="inlineStr">
        <is>
          <t>Samjhawan</t>
        </is>
      </c>
      <c r="D8" s="0" t="inlineStr">
        <is>
          <t>Jawad Ahmad, Shaarib Toshi, Arijit Singh, Shreya Ghoshal</t>
        </is>
      </c>
    </row>
    <row r="9">
      <c r="A9" s="0" t="inlineStr">
        <is>
          <t>2026-03-17</t>
        </is>
      </c>
      <c r="B9" s="0" t="n">
        <v>8</v>
      </c>
      <c r="C9" s="0" t="inlineStr">
        <is>
          <t>Sitaare (From "Ikkis")</t>
        </is>
      </c>
      <c r="D9" s="0" t="inlineStr">
        <is>
          <t>Arijit Singh, White Noise Collectives, Amitabh Bhattacharya</t>
        </is>
      </c>
    </row>
    <row r="10">
      <c r="A10" s="0" t="inlineStr">
        <is>
          <t>2026-03-17</t>
        </is>
      </c>
      <c r="B10" s="0" t="n">
        <v>9</v>
      </c>
      <c r="C10" s="0" t="inlineStr">
        <is>
          <t>Finding Her</t>
        </is>
      </c>
      <c r="D10" s="0" t="inlineStr">
        <is>
          <t>Kushagra, Bharath, Saaheal</t>
        </is>
      </c>
    </row>
    <row r="11">
      <c r="A11" s="0" t="inlineStr">
        <is>
          <t>2026-03-17</t>
        </is>
      </c>
      <c r="B11" s="0" t="n">
        <v>10</v>
      </c>
      <c r="C11" s="0" t="inlineStr">
        <is>
          <t>Apna Bana Le</t>
        </is>
      </c>
      <c r="D11" s="0" t="inlineStr">
        <is>
          <t>Sachin-Jigar, Arijit Singh, Amitabh Bhattacharya</t>
        </is>
      </c>
    </row>
    <row r="12">
      <c r="A12" s="0" t="inlineStr">
        <is>
          <t>2026-03-17</t>
        </is>
      </c>
      <c r="B12" s="0" t="n">
        <v>11</v>
      </c>
      <c r="C12" s="0" t="inlineStr">
        <is>
          <t>Arz Kiya Hai | Coke Studio Bharat</t>
        </is>
      </c>
      <c r="D12" s="0" t="inlineStr">
        <is>
          <t>Anuv Jain</t>
        </is>
      </c>
    </row>
    <row r="13">
      <c r="A13" s="0" t="inlineStr">
        <is>
          <t>2026-03-17</t>
        </is>
      </c>
      <c r="B13" s="0" t="n">
        <v>12</v>
      </c>
      <c r="C13" s="0" t="inlineStr">
        <is>
          <t>Shararat</t>
        </is>
      </c>
      <c r="D13" s="0" t="inlineStr">
        <is>
          <t>Shashwat Sachdev, Madhubanti Bagchi, Jasmine Sandlas</t>
        </is>
      </c>
    </row>
    <row r="14">
      <c r="A14" s="0" t="inlineStr">
        <is>
          <t>2026-03-17</t>
        </is>
      </c>
      <c r="B14" s="0" t="n">
        <v>13</v>
      </c>
      <c r="C14" s="0" t="inlineStr">
        <is>
          <t>Ishq</t>
        </is>
      </c>
      <c r="D14" s="0" t="inlineStr">
        <is>
          <t>Faheem Abdullah, Rauhan Malik, Amir Ameer</t>
        </is>
      </c>
    </row>
    <row r="15">
      <c r="A15" s="0" t="inlineStr">
        <is>
          <t>2026-03-17</t>
        </is>
      </c>
      <c r="B15" s="0" t="n">
        <v>14</v>
      </c>
      <c r="C15" s="0" t="inlineStr">
        <is>
          <t>Bairi</t>
        </is>
      </c>
      <c r="D15" s="0" t="inlineStr">
        <is>
          <t>Virat, Pradeep Solanki, Heena</t>
        </is>
      </c>
    </row>
    <row r="16">
      <c r="A16" s="0" t="inlineStr">
        <is>
          <t>2026-03-17</t>
        </is>
      </c>
      <c r="B16" s="0" t="n">
        <v>15</v>
      </c>
      <c r="C16" s="0" t="inlineStr">
        <is>
          <t>For A Reason</t>
        </is>
      </c>
      <c r="D16" s="0" t="inlineStr">
        <is>
          <t>Karan Aujla, Ikky</t>
        </is>
      </c>
    </row>
    <row r="17">
      <c r="A17" s="0" t="inlineStr">
        <is>
          <t>2026-03-17</t>
        </is>
      </c>
      <c r="B17" s="0" t="n">
        <v>16</v>
      </c>
      <c r="C17" s="0" t="inlineStr">
        <is>
          <t>Boyfriend</t>
        </is>
      </c>
      <c r="D17" s="0" t="inlineStr">
        <is>
          <t>Karan Aujla, Ikky</t>
        </is>
      </c>
    </row>
    <row r="18">
      <c r="A18" s="0" t="inlineStr">
        <is>
          <t>2026-03-17</t>
        </is>
      </c>
      <c r="B18" s="0" t="n">
        <v>17</v>
      </c>
      <c r="C18" s="0" t="inlineStr">
        <is>
          <t>Mann Mera</t>
        </is>
      </c>
      <c r="D18" s="0" t="inlineStr">
        <is>
          <t>Gajendra Verma</t>
        </is>
      </c>
    </row>
    <row r="19">
      <c r="A19" s="0" t="inlineStr">
        <is>
          <t>2026-03-17</t>
        </is>
      </c>
      <c r="B19" s="0" t="n">
        <v>18</v>
      </c>
      <c r="C19" s="0" t="inlineStr">
        <is>
          <t>Saiyaara</t>
        </is>
      </c>
      <c r="D19" s="0" t="inlineStr">
        <is>
          <t>Tanishk Bagchi, Faheem Abdullah, Arslan Nizami, Irshad Kamil</t>
        </is>
      </c>
    </row>
    <row r="20">
      <c r="A20" s="0" t="inlineStr">
        <is>
          <t>2026-03-17</t>
        </is>
      </c>
      <c r="B20" s="0" t="n">
        <v>19</v>
      </c>
      <c r="C20" s="0" t="inlineStr">
        <is>
          <t>Ishqa Ve</t>
        </is>
      </c>
      <c r="D20" s="0" t="inlineStr">
        <is>
          <t>Zeeshan Ali, Yuvraj Tung, Sandeep Aulakh, Honey Dhillon</t>
        </is>
      </c>
    </row>
    <row r="21">
      <c r="A21" s="0" t="inlineStr">
        <is>
          <t>2026-03-17</t>
        </is>
      </c>
      <c r="B21" s="0" t="n">
        <v>20</v>
      </c>
      <c r="C21" s="0" t="inlineStr">
        <is>
          <t>Tere Liye</t>
        </is>
      </c>
      <c r="D21" s="0" t="inlineStr">
        <is>
          <t>Atif Aslam, Shreya Ghoshal, Sachin Gupta, Sameer Anjaan</t>
        </is>
      </c>
    </row>
    <row r="22">
      <c r="A22" s="0" t="inlineStr">
        <is>
          <t>2026-03-17</t>
        </is>
      </c>
      <c r="B22" s="0" t="n">
        <v>21</v>
      </c>
      <c r="C22" s="0" t="inlineStr">
        <is>
          <t>Raanjhan (From "Do Patti")</t>
        </is>
      </c>
      <c r="D22" s="0" t="inlineStr">
        <is>
          <t>Sachet-Parampara, Parampara Tandon, Kausar Munir</t>
        </is>
      </c>
    </row>
    <row r="23">
      <c r="A23" s="0" t="inlineStr">
        <is>
          <t>2026-03-17</t>
        </is>
      </c>
      <c r="B23" s="0" t="n">
        <v>22</v>
      </c>
      <c r="C23" s="0" t="inlineStr">
        <is>
          <t>Pavazha Malli - From "Think Indie"</t>
        </is>
      </c>
      <c r="D23" s="0" t="inlineStr">
        <is>
          <t>Sai Abhyankkar, Shruti Haasan, Vivek</t>
        </is>
      </c>
    </row>
    <row r="24">
      <c r="A24" s="0" t="inlineStr">
        <is>
          <t>2026-03-17</t>
        </is>
      </c>
      <c r="B24" s="0" t="n">
        <v>23</v>
      </c>
      <c r="C24" s="0" t="inlineStr">
        <is>
          <t>Dhurandhar - Title Track</t>
        </is>
      </c>
      <c r="D24" s="0" t="inlineStr">
        <is>
          <t>Shashwat Sachdev, Hanumankind, Jasmine Sandlas, Sudhir Yaduvanshi, Charanjit Ahuja, Muhammad Sadiq, Ranjit Kaur, Babu Singh Maan</t>
        </is>
      </c>
    </row>
    <row r="25">
      <c r="A25" s="0" t="inlineStr">
        <is>
          <t>2026-03-17</t>
        </is>
      </c>
      <c r="B25" s="0" t="n">
        <v>24</v>
      </c>
      <c r="C25" s="0" t="inlineStr">
        <is>
          <t>Deewaana Deewaana</t>
        </is>
      </c>
      <c r="D25" s="0" t="inlineStr">
        <is>
          <t>A.R. Rahman, Irshad Kamil</t>
        </is>
      </c>
    </row>
    <row r="26">
      <c r="A26" s="0" t="inlineStr">
        <is>
          <t>2026-03-17</t>
        </is>
      </c>
      <c r="B26" s="0" t="n">
        <v>25</v>
      </c>
      <c r="C26" s="0" t="inlineStr">
        <is>
          <t>Jo Tum Mere Ho</t>
        </is>
      </c>
      <c r="D26" s="0" t="inlineStr">
        <is>
          <t>Anuv Jain</t>
        </is>
      </c>
    </row>
    <row r="27">
      <c r="A27" s="0" t="inlineStr">
        <is>
          <t>2026-03-17</t>
        </is>
      </c>
      <c r="B27" s="0" t="n">
        <v>26</v>
      </c>
      <c r="C27" s="0" t="inlineStr">
        <is>
          <t>Tere Bina</t>
        </is>
      </c>
      <c r="D27" s="0" t="inlineStr">
        <is>
          <t>A.R. Rahman, Chinmayi, Murtuza Khan, Qadir Khan</t>
        </is>
      </c>
    </row>
    <row r="28">
      <c r="A28" s="0" t="inlineStr">
        <is>
          <t>2026-03-17</t>
        </is>
      </c>
      <c r="B28" s="0" t="n">
        <v>27</v>
      </c>
      <c r="C28" s="0" t="inlineStr">
        <is>
          <t>Agar Tum Saath Ho (From "Tamasha")</t>
        </is>
      </c>
      <c r="D28" s="0" t="inlineStr">
        <is>
          <t>Alka Yagnik, Arijit Singh</t>
        </is>
      </c>
    </row>
    <row r="29">
      <c r="A29" s="0" t="inlineStr">
        <is>
          <t>2026-03-17</t>
        </is>
      </c>
      <c r="B29" s="0" t="n">
        <v>28</v>
      </c>
      <c r="C29" s="0" t="inlineStr">
        <is>
          <t>Tum Ho Toh (From "Saiyaara")</t>
        </is>
      </c>
      <c r="D29" s="0" t="inlineStr">
        <is>
          <t>Vishal Mishra, Hansika Pareek, Raj Shekhar</t>
        </is>
      </c>
    </row>
    <row r="30">
      <c r="A30" s="0" t="inlineStr">
        <is>
          <t>2026-03-17</t>
        </is>
      </c>
      <c r="B30" s="0" t="n">
        <v>29</v>
      </c>
      <c r="C30" s="0" t="inlineStr">
        <is>
          <t>Aaya Sher (From "The Paradise") (Telugu)</t>
        </is>
      </c>
      <c r="D30" s="0" t="inlineStr">
        <is>
          <t>Anirudh Ravichander, Jangi Reddy, Arjun Chandy, Kasarla Shyam</t>
        </is>
      </c>
    </row>
    <row r="31">
      <c r="A31" s="0" t="inlineStr">
        <is>
          <t>2026-03-17</t>
        </is>
      </c>
      <c r="B31" s="0" t="n">
        <v>30</v>
      </c>
      <c r="C31" s="0" t="inlineStr">
        <is>
          <t>Haseen</t>
        </is>
      </c>
      <c r="D31" s="0" t="inlineStr">
        <is>
          <t>Talwiinder, NDS, Rippy Grewal</t>
        </is>
      </c>
    </row>
    <row r="32">
      <c r="A32" s="0" t="inlineStr">
        <is>
          <t>2026-03-17</t>
        </is>
      </c>
      <c r="B32" s="0" t="n">
        <v>31</v>
      </c>
      <c r="C32" s="0" t="inlineStr">
        <is>
          <t>Darkhaast</t>
        </is>
      </c>
      <c r="D32" s="0" t="inlineStr">
        <is>
          <t>Mithoon, Arijit Singh, Sunidhi Chauhan, Sayeed Quadri</t>
        </is>
      </c>
    </row>
    <row r="33">
      <c r="A33" s="0" t="inlineStr">
        <is>
          <t>2026-03-17</t>
        </is>
      </c>
      <c r="B33" s="0" t="n">
        <v>32</v>
      </c>
      <c r="C33" s="0" t="inlineStr">
        <is>
          <t>Not Guilty</t>
        </is>
      </c>
      <c r="D33" s="0" t="inlineStr">
        <is>
          <t>Dhanda Nyoliwala</t>
        </is>
      </c>
    </row>
    <row r="34">
      <c r="A34" s="0" t="inlineStr">
        <is>
          <t>2026-03-17</t>
        </is>
      </c>
      <c r="B34" s="0" t="n">
        <v>33</v>
      </c>
      <c r="C34" s="0" t="inlineStr">
        <is>
          <t>Ye Tune Kya Kiya</t>
        </is>
      </c>
      <c r="D34" s="0" t="inlineStr">
        <is>
          <t>Pritam, Javed Bashir, Rajat Arora</t>
        </is>
      </c>
    </row>
    <row r="35">
      <c r="A35" s="0" t="inlineStr">
        <is>
          <t>2026-03-17</t>
        </is>
      </c>
      <c r="B35" s="0" t="n">
        <v>34</v>
      </c>
      <c r="C35" s="0" t="inlineStr">
        <is>
          <t>Shree Hanuman Chalisa</t>
        </is>
      </c>
      <c r="D35" s="0" t="inlineStr">
        <is>
          <t>Hariharan, Lalit Sen, Chander</t>
        </is>
      </c>
    </row>
    <row r="36">
      <c r="A36" s="0" t="inlineStr">
        <is>
          <t>2026-03-17</t>
        </is>
      </c>
      <c r="B36" s="0" t="n">
        <v>35</v>
      </c>
      <c r="C36" s="0" t="inlineStr">
        <is>
          <t>Naal Nachna</t>
        </is>
      </c>
      <c r="D36" s="0" t="inlineStr">
        <is>
          <t>Shashwat Sachdev, Afsana Khan, Irshad Kamil, Reble</t>
        </is>
      </c>
    </row>
    <row r="37">
      <c r="A37" s="0" t="inlineStr">
        <is>
          <t>2026-03-17</t>
        </is>
      </c>
      <c r="B37" s="0" t="n">
        <v>36</v>
      </c>
      <c r="C37" s="0" t="inlineStr">
        <is>
          <t>Barbaad (From "Saiyaara")</t>
        </is>
      </c>
      <c r="D37" s="0" t="inlineStr">
        <is>
          <t>The Rish, Jubin Nautiyal</t>
        </is>
      </c>
    </row>
    <row r="38">
      <c r="A38" s="0" t="inlineStr">
        <is>
          <t>2026-03-17</t>
        </is>
      </c>
      <c r="B38" s="0" t="n">
        <v>37</v>
      </c>
      <c r="C38" s="0" t="inlineStr">
        <is>
          <t>Mast Magan (From "2 States)</t>
        </is>
      </c>
      <c r="D38" s="0" t="inlineStr">
        <is>
          <t>Arijit Singh, Chinmayi</t>
        </is>
      </c>
    </row>
    <row r="39">
      <c r="A39" s="0" t="inlineStr">
        <is>
          <t>2026-03-17</t>
        </is>
      </c>
      <c r="B39" s="0" t="n">
        <v>38</v>
      </c>
      <c r="C39" s="0" t="inlineStr">
        <is>
          <t>Ehsaas</t>
        </is>
      </c>
      <c r="D39" s="0" t="inlineStr">
        <is>
          <t>Faheem Abdullah, Duha Shah, Vaibhav Pani, Hyder Dar</t>
        </is>
      </c>
    </row>
    <row r="40">
      <c r="A40" s="0" t="inlineStr">
        <is>
          <t>2026-03-17</t>
        </is>
      </c>
      <c r="B40" s="0" t="n">
        <v>39</v>
      </c>
      <c r="C40" s="0" t="inlineStr">
        <is>
          <t>Zaalima</t>
        </is>
      </c>
      <c r="D40" s="0" t="inlineStr">
        <is>
          <t>Arijit Singh, Harshdeep Kaur</t>
        </is>
      </c>
    </row>
    <row r="41">
      <c r="A41" s="0" t="inlineStr">
        <is>
          <t>2026-03-17</t>
        </is>
      </c>
      <c r="B41" s="0" t="n">
        <v>40</v>
      </c>
      <c r="C41" s="0" t="inlineStr">
        <is>
          <t>Teri Deewani</t>
        </is>
      </c>
      <c r="D41" s="0" t="inlineStr">
        <is>
          <t>Kailash Kher, Paresh Kamath, Naresh Kamath</t>
        </is>
      </c>
    </row>
    <row r="42">
      <c r="A42" s="0" t="inlineStr">
        <is>
          <t>2026-03-17</t>
        </is>
      </c>
      <c r="B42" s="0" t="n">
        <v>41</v>
      </c>
      <c r="C42" s="0" t="inlineStr">
        <is>
          <t>Lutt Le Gaya</t>
        </is>
      </c>
      <c r="D42" s="0" t="inlineStr">
        <is>
          <t>Shashwat Sachdev, Simran Choudhary</t>
        </is>
      </c>
    </row>
    <row r="43">
      <c r="A43" s="0" t="inlineStr">
        <is>
          <t>2026-03-17</t>
        </is>
      </c>
      <c r="B43" s="0" t="n">
        <v>42</v>
      </c>
      <c r="C43" s="0" t="inlineStr">
        <is>
          <t>Thodi Si Daaru</t>
        </is>
      </c>
      <c r="D43" s="0" t="inlineStr">
        <is>
          <t>AP Dhillon, Shreya Ghoshal</t>
        </is>
      </c>
    </row>
    <row r="44">
      <c r="A44" s="0" t="inlineStr">
        <is>
          <t>2026-03-17</t>
        </is>
      </c>
      <c r="B44" s="0" t="n">
        <v>43</v>
      </c>
      <c r="C44" s="0" t="inlineStr">
        <is>
          <t>Kithe Reh Gaya</t>
        </is>
      </c>
      <c r="D44" s="0" t="inlineStr">
        <is>
          <t>Neeti Mohan, Abhijit Vaghani</t>
        </is>
      </c>
    </row>
    <row r="45">
      <c r="A45" s="0" t="inlineStr">
        <is>
          <t>2026-03-17</t>
        </is>
      </c>
      <c r="B45" s="0" t="n">
        <v>44</v>
      </c>
      <c r="C45" s="0" t="inlineStr">
        <is>
          <t>KALYANI</t>
        </is>
      </c>
      <c r="D45" s="0" t="inlineStr">
        <is>
          <t>ARJN, KDS, FIFTY4, RONN</t>
        </is>
      </c>
    </row>
    <row r="46">
      <c r="A46" s="0" t="inlineStr">
        <is>
          <t>2026-03-17</t>
        </is>
      </c>
      <c r="B46" s="0" t="n">
        <v>45</v>
      </c>
      <c r="C46" s="0" t="inlineStr">
        <is>
          <t>Ishq Jalakar - Karvaan</t>
        </is>
      </c>
      <c r="D46" s="0" t="inlineStr">
        <is>
          <t>Shashwat Sachdev, Shahzad Ali, Subhadeep Das Chowdhury, Armaan Khan, Irshad Kamil, Roshan, Sahir Ludhianvi</t>
        </is>
      </c>
    </row>
    <row r="47">
      <c r="A47" s="0" t="inlineStr">
        <is>
          <t>2026-03-17</t>
        </is>
      </c>
      <c r="B47" s="0" t="n">
        <v>46</v>
      </c>
      <c r="C47" s="0" t="inlineStr">
        <is>
          <t>Humdard (From "Ek Villain")</t>
        </is>
      </c>
      <c r="D47" s="0" t="inlineStr">
        <is>
          <t>Arijit Singh</t>
        </is>
      </c>
    </row>
    <row r="48">
      <c r="A48" s="0" t="inlineStr">
        <is>
          <t>2026-03-17</t>
        </is>
      </c>
      <c r="B48" s="0" t="n">
        <v>47</v>
      </c>
      <c r="C48" s="0" t="inlineStr">
        <is>
          <t>Jhol - Acoustic</t>
        </is>
      </c>
      <c r="D48" s="0" t="inlineStr">
        <is>
          <t>Maanu, Annural Khalid, Abdullah Siddiqui</t>
        </is>
      </c>
    </row>
    <row r="49">
      <c r="A49" s="0" t="inlineStr">
        <is>
          <t>2026-03-17</t>
        </is>
      </c>
      <c r="B49" s="0" t="n">
        <v>48</v>
      </c>
      <c r="C49" s="0" t="inlineStr">
        <is>
          <t>Dhun (From "Saiyaara")</t>
        </is>
      </c>
      <c r="D49" s="0" t="inlineStr">
        <is>
          <t>Mithoon, Arijit Singh</t>
        </is>
      </c>
    </row>
    <row r="50">
      <c r="A50" s="0" t="inlineStr">
        <is>
          <t>2026-03-17</t>
        </is>
      </c>
      <c r="B50" s="0" t="n">
        <v>49</v>
      </c>
      <c r="C50" s="0" t="inlineStr">
        <is>
          <t>High On You</t>
        </is>
      </c>
      <c r="D50" s="0" t="inlineStr">
        <is>
          <t>Jind Universe</t>
        </is>
      </c>
    </row>
    <row r="51">
      <c r="A51" s="0" t="inlineStr">
        <is>
          <t>2026-03-17</t>
        </is>
      </c>
      <c r="B51" s="0" t="n">
        <v>50</v>
      </c>
      <c r="C51" s="0" t="inlineStr">
        <is>
          <t>Mann Mera - Original Version</t>
        </is>
      </c>
      <c r="D51" s="0" t="inlineStr">
        <is>
          <t>Gajendra Verma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Date</t>
        </is>
      </c>
      <c r="B1" s="24" t="inlineStr">
        <is>
          <t>Rank</t>
        </is>
      </c>
      <c r="C1" s="24" t="inlineStr">
        <is>
          <t>Song</t>
        </is>
      </c>
      <c r="D1" s="24" t="inlineStr">
        <is>
          <t>Artist</t>
        </is>
      </c>
    </row>
    <row r="2">
      <c r="A2" s="0" t="inlineStr">
        <is>
          <t>2026-03-18</t>
        </is>
      </c>
      <c r="B2" s="0" t="n">
        <v>1</v>
      </c>
      <c r="C2" s="0" t="inlineStr">
        <is>
          <t>Bairan</t>
        </is>
      </c>
      <c r="D2" s="0" t="inlineStr">
        <is>
          <t>Banjaare</t>
        </is>
      </c>
    </row>
    <row r="3">
      <c r="A3" s="0" t="inlineStr">
        <is>
          <t>2026-03-18</t>
        </is>
      </c>
      <c r="B3" s="0" t="n">
        <v>2</v>
      </c>
      <c r="C3" s="0" t="inlineStr">
        <is>
          <t>Sheesha - Aakhya Mai Aakh Ghali Jo Bairan</t>
        </is>
      </c>
      <c r="D3" s="0" t="inlineStr">
        <is>
          <t>Mitta Ror, Swara Verma</t>
        </is>
      </c>
    </row>
    <row r="4">
      <c r="A4" s="0" t="inlineStr">
        <is>
          <t>2026-03-18</t>
        </is>
      </c>
      <c r="B4" s="0" t="n">
        <v>3</v>
      </c>
      <c r="C4" s="0" t="inlineStr">
        <is>
          <t>Gehra Hua</t>
        </is>
      </c>
      <c r="D4" s="0" t="inlineStr">
        <is>
          <t>Shashwat Sachdev, Arijit Singh, Irshad Kamil, Armaan Khan</t>
        </is>
      </c>
    </row>
    <row r="5">
      <c r="A5" s="0" t="inlineStr">
        <is>
          <t>2026-03-18</t>
        </is>
      </c>
      <c r="B5" s="0" t="n">
        <v>4</v>
      </c>
      <c r="C5" s="0" t="inlineStr">
        <is>
          <t>Dooron Dooron</t>
        </is>
      </c>
      <c r="D5" s="0" t="inlineStr">
        <is>
          <t>Paresh Pahuja, Shiv Tandan, Meghdeep Bose</t>
        </is>
      </c>
    </row>
    <row r="6">
      <c r="A6" s="0" t="inlineStr">
        <is>
          <t>2026-03-18</t>
        </is>
      </c>
      <c r="B6" s="0" t="n">
        <v>5</v>
      </c>
      <c r="C6" s="0" t="inlineStr">
        <is>
          <t>Khat</t>
        </is>
      </c>
      <c r="D6" s="0" t="inlineStr">
        <is>
          <t>Navjot Ahuja</t>
        </is>
      </c>
    </row>
    <row r="7">
      <c r="A7" s="0" t="inlineStr">
        <is>
          <t>2026-03-18</t>
        </is>
      </c>
      <c r="B7" s="0" t="n">
        <v>6</v>
      </c>
      <c r="C7" s="0" t="inlineStr">
        <is>
          <t>Sahiba</t>
        </is>
      </c>
      <c r="D7" s="0" t="inlineStr">
        <is>
          <t>Aditya Rikhari</t>
        </is>
      </c>
    </row>
    <row r="8">
      <c r="A8" s="0" t="inlineStr">
        <is>
          <t>2026-03-18</t>
        </is>
      </c>
      <c r="B8" s="0" t="n">
        <v>7</v>
      </c>
      <c r="C8" s="0" t="inlineStr">
        <is>
          <t>Sitaare (From "Ikkis")</t>
        </is>
      </c>
      <c r="D8" s="0" t="inlineStr">
        <is>
          <t>Arijit Singh, White Noise Collectives, Amitabh Bhattacharya</t>
        </is>
      </c>
    </row>
    <row r="9">
      <c r="A9" s="0" t="inlineStr">
        <is>
          <t>2026-03-18</t>
        </is>
      </c>
      <c r="B9" s="0" t="n">
        <v>8</v>
      </c>
      <c r="C9" s="0" t="inlineStr">
        <is>
          <t>Samjhawan</t>
        </is>
      </c>
      <c r="D9" s="0" t="inlineStr">
        <is>
          <t>Jawad Ahmad, Shaarib Toshi, Arijit Singh, Shreya Ghoshal</t>
        </is>
      </c>
    </row>
    <row r="10">
      <c r="A10" s="0" t="inlineStr">
        <is>
          <t>2026-03-18</t>
        </is>
      </c>
      <c r="B10" s="0" t="n">
        <v>9</v>
      </c>
      <c r="C10" s="0" t="inlineStr">
        <is>
          <t>Finding Her</t>
        </is>
      </c>
      <c r="D10" s="0" t="inlineStr">
        <is>
          <t>Kushagra, Bharath, Saaheal</t>
        </is>
      </c>
    </row>
    <row r="11">
      <c r="A11" s="0" t="inlineStr">
        <is>
          <t>2026-03-18</t>
        </is>
      </c>
      <c r="B11" s="0" t="n">
        <v>10</v>
      </c>
      <c r="C11" s="0" t="inlineStr">
        <is>
          <t>Apna Bana Le</t>
        </is>
      </c>
      <c r="D11" s="0" t="inlineStr">
        <is>
          <t>Sachin-Jigar, Arijit Singh, Amitabh Bhattacharya</t>
        </is>
      </c>
    </row>
    <row r="12">
      <c r="A12" s="0" t="inlineStr">
        <is>
          <t>2026-03-18</t>
        </is>
      </c>
      <c r="B12" s="0" t="n">
        <v>11</v>
      </c>
      <c r="C12" s="0" t="inlineStr">
        <is>
          <t>Arz Kiya Hai | Coke Studio Bharat</t>
        </is>
      </c>
      <c r="D12" s="0" t="inlineStr">
        <is>
          <t>Anuv Jain</t>
        </is>
      </c>
    </row>
    <row r="13">
      <c r="A13" s="0" t="inlineStr">
        <is>
          <t>2026-03-18</t>
        </is>
      </c>
      <c r="B13" s="0" t="n">
        <v>12</v>
      </c>
      <c r="C13" s="0" t="inlineStr">
        <is>
          <t>For A Reason</t>
        </is>
      </c>
      <c r="D13" s="0" t="inlineStr">
        <is>
          <t>Karan Aujla, Ikky</t>
        </is>
      </c>
    </row>
    <row r="14">
      <c r="A14" s="0" t="inlineStr">
        <is>
          <t>2026-03-18</t>
        </is>
      </c>
      <c r="B14" s="0" t="n">
        <v>13</v>
      </c>
      <c r="C14" s="0" t="inlineStr">
        <is>
          <t>Bairi</t>
        </is>
      </c>
      <c r="D14" s="0" t="inlineStr">
        <is>
          <t>Virat, Pradeep Solanki, Heena</t>
        </is>
      </c>
    </row>
    <row r="15">
      <c r="A15" s="0" t="inlineStr">
        <is>
          <t>2026-03-18</t>
        </is>
      </c>
      <c r="B15" s="0" t="n">
        <v>14</v>
      </c>
      <c r="C15" s="0" t="inlineStr">
        <is>
          <t>Boyfriend</t>
        </is>
      </c>
      <c r="D15" s="0" t="inlineStr">
        <is>
          <t>Karan Aujla, Ikky</t>
        </is>
      </c>
    </row>
    <row r="16">
      <c r="A16" s="0" t="inlineStr">
        <is>
          <t>2026-03-18</t>
        </is>
      </c>
      <c r="B16" s="0" t="n">
        <v>15</v>
      </c>
      <c r="C16" s="0" t="inlineStr">
        <is>
          <t>Shararat</t>
        </is>
      </c>
      <c r="D16" s="0" t="inlineStr">
        <is>
          <t>Shashwat Sachdev, Madhubanti Bagchi, Jasmine Sandlas</t>
        </is>
      </c>
    </row>
    <row r="17">
      <c r="A17" s="0" t="inlineStr">
        <is>
          <t>2026-03-18</t>
        </is>
      </c>
      <c r="B17" s="0" t="n">
        <v>16</v>
      </c>
      <c r="C17" s="0" t="inlineStr">
        <is>
          <t>Ishq</t>
        </is>
      </c>
      <c r="D17" s="0" t="inlineStr">
        <is>
          <t>Faheem Abdullah, Rauhan Malik, Amir Ameer</t>
        </is>
      </c>
    </row>
    <row r="18">
      <c r="A18" s="0" t="inlineStr">
        <is>
          <t>2026-03-18</t>
        </is>
      </c>
      <c r="B18" s="0" t="n">
        <v>17</v>
      </c>
      <c r="C18" s="0" t="inlineStr">
        <is>
          <t>Pavazha Malli - From "Think Indie"</t>
        </is>
      </c>
      <c r="D18" s="0" t="inlineStr">
        <is>
          <t>Sai Abhyankkar, Shruti Haasan, Vivek</t>
        </is>
      </c>
    </row>
    <row r="19">
      <c r="A19" s="0" t="inlineStr">
        <is>
          <t>2026-03-18</t>
        </is>
      </c>
      <c r="B19" s="0" t="n">
        <v>18</v>
      </c>
      <c r="C19" s="0" t="inlineStr">
        <is>
          <t>Mann Mera</t>
        </is>
      </c>
      <c r="D19" s="0" t="inlineStr">
        <is>
          <t>Gajendra Verma</t>
        </is>
      </c>
    </row>
    <row r="20">
      <c r="A20" s="0" t="inlineStr">
        <is>
          <t>2026-03-18</t>
        </is>
      </c>
      <c r="B20" s="0" t="n">
        <v>19</v>
      </c>
      <c r="C20" s="0" t="inlineStr">
        <is>
          <t>Saiyaara</t>
        </is>
      </c>
      <c r="D20" s="0" t="inlineStr">
        <is>
          <t>Tanishk Bagchi, Faheem Abdullah, Arslan Nizami, Irshad Kamil</t>
        </is>
      </c>
    </row>
    <row r="21">
      <c r="A21" s="0" t="inlineStr">
        <is>
          <t>2026-03-18</t>
        </is>
      </c>
      <c r="B21" s="0" t="n">
        <v>20</v>
      </c>
      <c r="C21" s="0" t="inlineStr">
        <is>
          <t>Dhurandhar - Title Track</t>
        </is>
      </c>
      <c r="D21" s="0" t="inlineStr">
        <is>
          <t>Shashwat Sachdev, Hanumankind, Jasmine Sandlas, Sudhir Yaduvanshi, Charanjit Ahuja, Muhammad Sadiq, Ranjit Kaur, Babu Singh Maan</t>
        </is>
      </c>
    </row>
    <row r="22">
      <c r="A22" s="0" t="inlineStr">
        <is>
          <t>2026-03-18</t>
        </is>
      </c>
      <c r="B22" s="0" t="n">
        <v>21</v>
      </c>
      <c r="C22" s="0" t="inlineStr">
        <is>
          <t>Dhurandhar The Revenge - Aari Aari (From "Dhurandhar The Revenge")</t>
        </is>
      </c>
      <c r="D22" s="0" t="inlineStr">
        <is>
          <t>Shashwat Sachdev, Bombay Rockers, Irshad Kamil, Khan Saab, Reble, Token, Jasmine Sandlas, Sudhir Yaduvanshi</t>
        </is>
      </c>
    </row>
    <row r="23">
      <c r="A23" s="0" t="inlineStr">
        <is>
          <t>2026-03-18</t>
        </is>
      </c>
      <c r="B23" s="0" t="n">
        <v>22</v>
      </c>
      <c r="C23" s="0" t="inlineStr">
        <is>
          <t>Raanjhan (From "Do Patti")</t>
        </is>
      </c>
      <c r="D23" s="0" t="inlineStr">
        <is>
          <t>Sachet-Parampara, Parampara Tandon, Kausar Munir</t>
        </is>
      </c>
    </row>
    <row r="24">
      <c r="A24" s="0" t="inlineStr">
        <is>
          <t>2026-03-18</t>
        </is>
      </c>
      <c r="B24" s="0" t="n">
        <v>23</v>
      </c>
      <c r="C24" s="0" t="inlineStr">
        <is>
          <t>Ishqa Ve</t>
        </is>
      </c>
      <c r="D24" s="0" t="inlineStr">
        <is>
          <t>Zeeshan Ali, Yuvraj Tung, Sandeep Aulakh, Honey Dhillon</t>
        </is>
      </c>
    </row>
    <row r="25">
      <c r="A25" s="0" t="inlineStr">
        <is>
          <t>2026-03-18</t>
        </is>
      </c>
      <c r="B25" s="0" t="n">
        <v>24</v>
      </c>
      <c r="C25" s="0" t="inlineStr">
        <is>
          <t>Deewaana Deewaana</t>
        </is>
      </c>
      <c r="D25" s="0" t="inlineStr">
        <is>
          <t>A.R. Rahman, Irshad Kamil</t>
        </is>
      </c>
    </row>
    <row r="26">
      <c r="A26" s="0" t="inlineStr">
        <is>
          <t>2026-03-18</t>
        </is>
      </c>
      <c r="B26" s="0" t="n">
        <v>25</v>
      </c>
      <c r="C26" s="0" t="inlineStr">
        <is>
          <t>Darkhaast</t>
        </is>
      </c>
      <c r="D26" s="0" t="inlineStr">
        <is>
          <t>Mithoon, Arijit Singh, Sunidhi Chauhan, Sayeed Quadri</t>
        </is>
      </c>
    </row>
    <row r="27">
      <c r="A27" s="0" t="inlineStr">
        <is>
          <t>2026-03-18</t>
        </is>
      </c>
      <c r="B27" s="0" t="n">
        <v>26</v>
      </c>
      <c r="C27" s="0" t="inlineStr">
        <is>
          <t>Tere Liye</t>
        </is>
      </c>
      <c r="D27" s="0" t="inlineStr">
        <is>
          <t>Atif Aslam, Shreya Ghoshal, Sachin Gupta, Sameer Anjaan</t>
        </is>
      </c>
    </row>
    <row r="28">
      <c r="A28" s="0" t="inlineStr">
        <is>
          <t>2026-03-18</t>
        </is>
      </c>
      <c r="B28" s="0" t="n">
        <v>27</v>
      </c>
      <c r="C28" s="0" t="inlineStr">
        <is>
          <t>Tere Bina</t>
        </is>
      </c>
      <c r="D28" s="0" t="inlineStr">
        <is>
          <t>A.R. Rahman, Chinmayi, Murtuza Khan, Qadir Khan</t>
        </is>
      </c>
    </row>
    <row r="29">
      <c r="A29" s="0" t="inlineStr">
        <is>
          <t>2026-03-18</t>
        </is>
      </c>
      <c r="B29" s="0" t="n">
        <v>28</v>
      </c>
      <c r="C29" s="0" t="inlineStr">
        <is>
          <t>Jogi</t>
        </is>
      </c>
      <c r="D29" s="0" t="inlineStr">
        <is>
          <t>thiarajxtt, Bir</t>
        </is>
      </c>
    </row>
    <row r="30">
      <c r="A30" s="0" t="inlineStr">
        <is>
          <t>2026-03-18</t>
        </is>
      </c>
      <c r="B30" s="0" t="n">
        <v>29</v>
      </c>
      <c r="C30" s="0" t="inlineStr">
        <is>
          <t>Aaya Sher (From "The Paradise") (Telugu)</t>
        </is>
      </c>
      <c r="D30" s="0" t="inlineStr">
        <is>
          <t>Anirudh Ravichander, Jangi Reddy, Arjun Chandy, Kasarla Shyam</t>
        </is>
      </c>
    </row>
    <row r="31">
      <c r="A31" s="0" t="inlineStr">
        <is>
          <t>2026-03-18</t>
        </is>
      </c>
      <c r="B31" s="0" t="n">
        <v>30</v>
      </c>
      <c r="C31" s="0" t="inlineStr">
        <is>
          <t>Agar Tum Saath Ho (From "Tamasha")</t>
        </is>
      </c>
      <c r="D31" s="0" t="inlineStr">
        <is>
          <t>Alka Yagnik, Arijit Singh</t>
        </is>
      </c>
    </row>
    <row r="32">
      <c r="A32" s="0" t="inlineStr">
        <is>
          <t>2026-03-18</t>
        </is>
      </c>
      <c r="B32" s="0" t="n">
        <v>31</v>
      </c>
      <c r="C32" s="0" t="inlineStr">
        <is>
          <t>Tum Ho Toh (From "Saiyaara")</t>
        </is>
      </c>
      <c r="D32" s="0" t="inlineStr">
        <is>
          <t>Vishal Mishra, Hansika Pareek, Raj Shekhar</t>
        </is>
      </c>
    </row>
    <row r="33">
      <c r="A33" s="0" t="inlineStr">
        <is>
          <t>2026-03-18</t>
        </is>
      </c>
      <c r="B33" s="0" t="n">
        <v>32</v>
      </c>
      <c r="C33" s="0" t="inlineStr">
        <is>
          <t>Jo Tum Mere Ho</t>
        </is>
      </c>
      <c r="D33" s="0" t="inlineStr">
        <is>
          <t>Anuv Jain</t>
        </is>
      </c>
    </row>
    <row r="34">
      <c r="A34" s="0" t="inlineStr">
        <is>
          <t>2026-03-18</t>
        </is>
      </c>
      <c r="B34" s="0" t="n">
        <v>33</v>
      </c>
      <c r="C34" s="0" t="inlineStr">
        <is>
          <t>Haseen</t>
        </is>
      </c>
      <c r="D34" s="0" t="inlineStr">
        <is>
          <t>Talwiinder, NDS, Rippy Grewal</t>
        </is>
      </c>
    </row>
    <row r="35">
      <c r="A35" s="0" t="inlineStr">
        <is>
          <t>2026-03-18</t>
        </is>
      </c>
      <c r="B35" s="0" t="n">
        <v>34</v>
      </c>
      <c r="C35" s="0" t="inlineStr">
        <is>
          <t>Not Guilty</t>
        </is>
      </c>
      <c r="D35" s="0" t="inlineStr">
        <is>
          <t>Dhanda Nyoliwala</t>
        </is>
      </c>
    </row>
    <row r="36">
      <c r="A36" s="0" t="inlineStr">
        <is>
          <t>2026-03-18</t>
        </is>
      </c>
      <c r="B36" s="0" t="n">
        <v>35</v>
      </c>
      <c r="C36" s="0" t="inlineStr">
        <is>
          <t>Naal Nachna</t>
        </is>
      </c>
      <c r="D36" s="0" t="inlineStr">
        <is>
          <t>Shashwat Sachdev, Afsana Khan, Irshad Kamil, Reble</t>
        </is>
      </c>
    </row>
    <row r="37">
      <c r="A37" s="0" t="inlineStr">
        <is>
          <t>2026-03-18</t>
        </is>
      </c>
      <c r="B37" s="0" t="n">
        <v>36</v>
      </c>
      <c r="C37" s="0" t="inlineStr">
        <is>
          <t>Barbaad (From "Saiyaara")</t>
        </is>
      </c>
      <c r="D37" s="0" t="inlineStr">
        <is>
          <t>The Rish, Jubin Nautiyal</t>
        </is>
      </c>
    </row>
    <row r="38">
      <c r="A38" s="0" t="inlineStr">
        <is>
          <t>2026-03-18</t>
        </is>
      </c>
      <c r="B38" s="0" t="n">
        <v>37</v>
      </c>
      <c r="C38" s="0" t="inlineStr">
        <is>
          <t>Ye Tune Kya Kiya</t>
        </is>
      </c>
      <c r="D38" s="0" t="inlineStr">
        <is>
          <t>Pritam, Javed Bashir, Rajat Arora</t>
        </is>
      </c>
    </row>
    <row r="39">
      <c r="A39" s="0" t="inlineStr">
        <is>
          <t>2026-03-18</t>
        </is>
      </c>
      <c r="B39" s="0" t="n">
        <v>38</v>
      </c>
      <c r="C39" s="0" t="inlineStr">
        <is>
          <t>Lutt Le Gaya</t>
        </is>
      </c>
      <c r="D39" s="0" t="inlineStr">
        <is>
          <t>Shashwat Sachdev, Simran Choudhary</t>
        </is>
      </c>
    </row>
    <row r="40">
      <c r="A40" s="0" t="inlineStr">
        <is>
          <t>2026-03-18</t>
        </is>
      </c>
      <c r="B40" s="0" t="n">
        <v>39</v>
      </c>
      <c r="C40" s="0" t="inlineStr">
        <is>
          <t>KALYANI</t>
        </is>
      </c>
      <c r="D40" s="0" t="inlineStr">
        <is>
          <t>ARJN, KDS, FIFTY4, RONN</t>
        </is>
      </c>
    </row>
    <row r="41">
      <c r="A41" s="0" t="inlineStr">
        <is>
          <t>2026-03-18</t>
        </is>
      </c>
      <c r="B41" s="0" t="n">
        <v>40</v>
      </c>
      <c r="C41" s="0" t="inlineStr">
        <is>
          <t>Teri Deewani</t>
        </is>
      </c>
      <c r="D41" s="0" t="inlineStr">
        <is>
          <t>Kailash Kher, Paresh Kamath, Naresh Kamath</t>
        </is>
      </c>
    </row>
    <row r="42">
      <c r="A42" s="0" t="inlineStr">
        <is>
          <t>2026-03-18</t>
        </is>
      </c>
      <c r="B42" s="0" t="n">
        <v>41</v>
      </c>
      <c r="C42" s="0" t="inlineStr">
        <is>
          <t>Mast Magan (From "2 States)</t>
        </is>
      </c>
      <c r="D42" s="0" t="inlineStr">
        <is>
          <t>Arijit Singh, Chinmayi</t>
        </is>
      </c>
    </row>
    <row r="43">
      <c r="A43" s="0" t="inlineStr">
        <is>
          <t>2026-03-18</t>
        </is>
      </c>
      <c r="B43" s="0" t="n">
        <v>42</v>
      </c>
      <c r="C43" s="0" t="inlineStr">
        <is>
          <t>Ehsaas</t>
        </is>
      </c>
      <c r="D43" s="0" t="inlineStr">
        <is>
          <t>Faheem Abdullah, Duha Shah, Vaibhav Pani, Hyder Dar</t>
        </is>
      </c>
    </row>
    <row r="44">
      <c r="A44" s="0" t="inlineStr">
        <is>
          <t>2026-03-18</t>
        </is>
      </c>
      <c r="B44" s="0" t="n">
        <v>43</v>
      </c>
      <c r="C44" s="0" t="inlineStr">
        <is>
          <t>Ishq Jalakar - Karvaan</t>
        </is>
      </c>
      <c r="D44" s="0" t="inlineStr">
        <is>
          <t>Shashwat Sachdev, Shahzad Ali, Subhadeep Das Chowdhury, Armaan Khan, Irshad Kamil, Roshan, Sahir Ludhianvi</t>
        </is>
      </c>
    </row>
    <row r="45">
      <c r="A45" s="0" t="inlineStr">
        <is>
          <t>2026-03-18</t>
        </is>
      </c>
      <c r="B45" s="0" t="n">
        <v>44</v>
      </c>
      <c r="C45" s="0" t="inlineStr">
        <is>
          <t>Thodi Si Daaru</t>
        </is>
      </c>
      <c r="D45" s="0" t="inlineStr">
        <is>
          <t>AP Dhillon, Shreya Ghoshal</t>
        </is>
      </c>
    </row>
    <row r="46">
      <c r="A46" s="0" t="inlineStr">
        <is>
          <t>2026-03-18</t>
        </is>
      </c>
      <c r="B46" s="0" t="n">
        <v>45</v>
      </c>
      <c r="C46" s="0" t="inlineStr">
        <is>
          <t>Humdard (From "Ek Villain")</t>
        </is>
      </c>
      <c r="D46" s="0" t="inlineStr">
        <is>
          <t>Arijit Singh</t>
        </is>
      </c>
    </row>
    <row r="47">
      <c r="A47" s="0" t="inlineStr">
        <is>
          <t>2026-03-18</t>
        </is>
      </c>
      <c r="B47" s="0" t="n">
        <v>46</v>
      </c>
      <c r="C47" s="0" t="inlineStr">
        <is>
          <t>Jhol - Acoustic</t>
        </is>
      </c>
      <c r="D47" s="0" t="inlineStr">
        <is>
          <t>Maanu, Annural Khalid, Abdullah Siddiqui</t>
        </is>
      </c>
    </row>
    <row r="48">
      <c r="A48" s="0" t="inlineStr">
        <is>
          <t>2026-03-18</t>
        </is>
      </c>
      <c r="B48" s="0" t="n">
        <v>47</v>
      </c>
      <c r="C48" s="0" t="inlineStr">
        <is>
          <t>High On You</t>
        </is>
      </c>
      <c r="D48" s="0" t="inlineStr">
        <is>
          <t>Jind Universe</t>
        </is>
      </c>
    </row>
    <row r="49">
      <c r="A49" s="0" t="inlineStr">
        <is>
          <t>2026-03-18</t>
        </is>
      </c>
      <c r="B49" s="0" t="n">
        <v>48</v>
      </c>
      <c r="C49" s="0" t="inlineStr">
        <is>
          <t>Dhun (From "Saiyaara")</t>
        </is>
      </c>
      <c r="D49" s="0" t="inlineStr">
        <is>
          <t>Mithoon, Arijit Singh</t>
        </is>
      </c>
    </row>
    <row r="50">
      <c r="A50" s="0" t="inlineStr">
        <is>
          <t>2026-03-18</t>
        </is>
      </c>
      <c r="B50" s="0" t="n">
        <v>49</v>
      </c>
      <c r="C50" s="0" t="inlineStr">
        <is>
          <t>Kithe Reh Gaya</t>
        </is>
      </c>
      <c r="D50" s="0" t="inlineStr">
        <is>
          <t>Neeti Mohan, Abhijit Vaghani</t>
        </is>
      </c>
    </row>
    <row r="51">
      <c r="A51" s="0" t="inlineStr">
        <is>
          <t>2026-03-18</t>
        </is>
      </c>
      <c r="B51" s="0" t="n">
        <v>50</v>
      </c>
      <c r="C51" s="0" t="inlineStr">
        <is>
          <t>Zaalima</t>
        </is>
      </c>
      <c r="D51" s="0" t="inlineStr">
        <is>
          <t>Arijit Singh, Harshdeep Kaur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Date</t>
        </is>
      </c>
      <c r="B1" s="24" t="inlineStr">
        <is>
          <t>Rank</t>
        </is>
      </c>
      <c r="C1" s="24" t="inlineStr">
        <is>
          <t>Song</t>
        </is>
      </c>
      <c r="D1" s="24" t="inlineStr">
        <is>
          <t>Artist</t>
        </is>
      </c>
    </row>
    <row r="2">
      <c r="A2" s="0" t="inlineStr">
        <is>
          <t>2026-03-19</t>
        </is>
      </c>
      <c r="B2" s="0" t="n">
        <v>1</v>
      </c>
      <c r="C2" s="0" t="inlineStr">
        <is>
          <t>Bairan</t>
        </is>
      </c>
      <c r="D2" s="0" t="inlineStr">
        <is>
          <t>Banjaare</t>
        </is>
      </c>
    </row>
    <row r="3">
      <c r="A3" s="0" t="inlineStr">
        <is>
          <t>2026-03-19</t>
        </is>
      </c>
      <c r="B3" s="0" t="n">
        <v>2</v>
      </c>
      <c r="C3" s="0" t="inlineStr">
        <is>
          <t>Sheesha - Aakhya Mai Aakh Ghali Jo Bairan</t>
        </is>
      </c>
      <c r="D3" s="0" t="inlineStr">
        <is>
          <t>Mitta Ror, Swara Verma</t>
        </is>
      </c>
    </row>
    <row r="4">
      <c r="A4" s="0" t="inlineStr">
        <is>
          <t>2026-03-19</t>
        </is>
      </c>
      <c r="B4" s="0" t="n">
        <v>3</v>
      </c>
      <c r="C4" s="0" t="inlineStr">
        <is>
          <t>Gehra Hua</t>
        </is>
      </c>
      <c r="D4" s="0" t="inlineStr">
        <is>
          <t>Shashwat Sachdev, Arijit Singh, Irshad Kamil, Armaan Khan</t>
        </is>
      </c>
    </row>
    <row r="5">
      <c r="A5" s="0" t="inlineStr">
        <is>
          <t>2026-03-19</t>
        </is>
      </c>
      <c r="B5" s="0" t="n">
        <v>4</v>
      </c>
      <c r="C5" s="0" t="inlineStr">
        <is>
          <t>Dooron Dooron</t>
        </is>
      </c>
      <c r="D5" s="0" t="inlineStr">
        <is>
          <t>Paresh Pahuja, Shiv Tandan, Meghdeep Bose</t>
        </is>
      </c>
    </row>
    <row r="6">
      <c r="A6" s="0" t="inlineStr">
        <is>
          <t>2026-03-19</t>
        </is>
      </c>
      <c r="B6" s="0" t="n">
        <v>5</v>
      </c>
      <c r="C6" s="0" t="inlineStr">
        <is>
          <t>Khat</t>
        </is>
      </c>
      <c r="D6" s="0" t="inlineStr">
        <is>
          <t>Navjot Ahuja</t>
        </is>
      </c>
    </row>
    <row r="7">
      <c r="A7" s="0" t="inlineStr">
        <is>
          <t>2026-03-19</t>
        </is>
      </c>
      <c r="B7" s="0" t="n">
        <v>6</v>
      </c>
      <c r="C7" s="0" t="inlineStr">
        <is>
          <t>Sitaare (From "Ikkis")</t>
        </is>
      </c>
      <c r="D7" s="0" t="inlineStr">
        <is>
          <t>Arijit Singh, White Noise Collectives, Amitabh Bhattacharya</t>
        </is>
      </c>
    </row>
    <row r="8">
      <c r="A8" s="0" t="inlineStr">
        <is>
          <t>2026-03-19</t>
        </is>
      </c>
      <c r="B8" s="0" t="n">
        <v>7</v>
      </c>
      <c r="C8" s="0" t="inlineStr">
        <is>
          <t>Dhurandhar The Revenge - Aari Aari (From "Dhurandhar The Revenge")</t>
        </is>
      </c>
      <c r="D8" s="0" t="inlineStr">
        <is>
          <t>Shashwat Sachdev, Bombay Rockers, Irshad Kamil, Khan Saab, Reble, Token, Jasmine Sandlas, Sudhir Yaduvanshi</t>
        </is>
      </c>
    </row>
    <row r="9">
      <c r="A9" s="0" t="inlineStr">
        <is>
          <t>2026-03-19</t>
        </is>
      </c>
      <c r="B9" s="0" t="n">
        <v>8</v>
      </c>
      <c r="C9" s="0" t="inlineStr">
        <is>
          <t>Sahiba</t>
        </is>
      </c>
      <c r="D9" s="0" t="inlineStr">
        <is>
          <t>Aditya Rikhari</t>
        </is>
      </c>
    </row>
    <row r="10">
      <c r="A10" s="0" t="inlineStr">
        <is>
          <t>2026-03-19</t>
        </is>
      </c>
      <c r="B10" s="0" t="n">
        <v>9</v>
      </c>
      <c r="C10" s="0" t="inlineStr">
        <is>
          <t>Samjhawan</t>
        </is>
      </c>
      <c r="D10" s="0" t="inlineStr">
        <is>
          <t>Jawad Ahmad, Shaarib Toshi, Arijit Singh, Shreya Ghoshal</t>
        </is>
      </c>
    </row>
    <row r="11">
      <c r="A11" s="0" t="inlineStr">
        <is>
          <t>2026-03-19</t>
        </is>
      </c>
      <c r="B11" s="0" t="n">
        <v>10</v>
      </c>
      <c r="C11" s="0" t="inlineStr">
        <is>
          <t>Finding Her</t>
        </is>
      </c>
      <c r="D11" s="0" t="inlineStr">
        <is>
          <t>Kushagra, Bharath, Saaheal</t>
        </is>
      </c>
    </row>
    <row r="12">
      <c r="A12" s="0" t="inlineStr">
        <is>
          <t>2026-03-19</t>
        </is>
      </c>
      <c r="B12" s="0" t="n">
        <v>11</v>
      </c>
      <c r="C12" s="0" t="inlineStr">
        <is>
          <t>Apna Bana Le</t>
        </is>
      </c>
      <c r="D12" s="0" t="inlineStr">
        <is>
          <t>Sachin-Jigar, Arijit Singh, Amitabh Bhattacharya</t>
        </is>
      </c>
    </row>
    <row r="13">
      <c r="A13" s="0" t="inlineStr">
        <is>
          <t>2026-03-19</t>
        </is>
      </c>
      <c r="B13" s="0" t="n">
        <v>12</v>
      </c>
      <c r="C13" s="0" t="inlineStr">
        <is>
          <t>Arz Kiya Hai | Coke Studio Bharat</t>
        </is>
      </c>
      <c r="D13" s="0" t="inlineStr">
        <is>
          <t>Anuv Jain</t>
        </is>
      </c>
    </row>
    <row r="14">
      <c r="A14" s="0" t="inlineStr">
        <is>
          <t>2026-03-19</t>
        </is>
      </c>
      <c r="B14" s="0" t="n">
        <v>13</v>
      </c>
      <c r="C14" s="0" t="inlineStr">
        <is>
          <t>Bairi</t>
        </is>
      </c>
      <c r="D14" s="0" t="inlineStr">
        <is>
          <t>Virat, Pradeep Solanki, Heena</t>
        </is>
      </c>
    </row>
    <row r="15">
      <c r="A15" s="0" t="inlineStr">
        <is>
          <t>2026-03-19</t>
        </is>
      </c>
      <c r="B15" s="0" t="n">
        <v>14</v>
      </c>
      <c r="C15" s="0" t="inlineStr">
        <is>
          <t>Pavazha Malli - From "Think Indie"</t>
        </is>
      </c>
      <c r="D15" s="0" t="inlineStr">
        <is>
          <t>Sai Abhyankkar, Shruti Haasan, Vivek</t>
        </is>
      </c>
    </row>
    <row r="16">
      <c r="A16" s="0" t="inlineStr">
        <is>
          <t>2026-03-19</t>
        </is>
      </c>
      <c r="B16" s="0" t="n">
        <v>15</v>
      </c>
      <c r="C16" s="0" t="inlineStr">
        <is>
          <t>Ishq</t>
        </is>
      </c>
      <c r="D16" s="0" t="inlineStr">
        <is>
          <t>Faheem Abdullah, Rauhan Malik, Amir Ameer</t>
        </is>
      </c>
    </row>
    <row r="17">
      <c r="A17" s="0" t="inlineStr">
        <is>
          <t>2026-03-19</t>
        </is>
      </c>
      <c r="B17" s="0" t="n">
        <v>16</v>
      </c>
      <c r="C17" s="0" t="inlineStr">
        <is>
          <t>Shararat</t>
        </is>
      </c>
      <c r="D17" s="0" t="inlineStr">
        <is>
          <t>Shashwat Sachdev, Madhubanti Bagchi, Jasmine Sandlas</t>
        </is>
      </c>
    </row>
    <row r="18">
      <c r="A18" s="0" t="inlineStr">
        <is>
          <t>2026-03-19</t>
        </is>
      </c>
      <c r="B18" s="0" t="n">
        <v>17</v>
      </c>
      <c r="C18" s="0" t="inlineStr">
        <is>
          <t>For A Reason</t>
        </is>
      </c>
      <c r="D18" s="0" t="inlineStr">
        <is>
          <t>Karan Aujla, Ikky</t>
        </is>
      </c>
    </row>
    <row r="19">
      <c r="A19" s="0" t="inlineStr">
        <is>
          <t>2026-03-19</t>
        </is>
      </c>
      <c r="B19" s="0" t="n">
        <v>18</v>
      </c>
      <c r="C19" s="0" t="inlineStr">
        <is>
          <t>Dhurandhar - Title Track</t>
        </is>
      </c>
      <c r="D19" s="0" t="inlineStr">
        <is>
          <t>Shashwat Sachdev, Hanumankind, Jasmine Sandlas, Sudhir Yaduvanshi, Charanjit Ahuja, Muhammad Sadiq, Ranjit Kaur, Babu Singh Maan</t>
        </is>
      </c>
    </row>
    <row r="20">
      <c r="A20" s="0" t="inlineStr">
        <is>
          <t>2026-03-19</t>
        </is>
      </c>
      <c r="B20" s="0" t="n">
        <v>19</v>
      </c>
      <c r="C20" s="0" t="inlineStr">
        <is>
          <t>Boyfriend</t>
        </is>
      </c>
      <c r="D20" s="0" t="inlineStr">
        <is>
          <t>Karan Aujla, Ikky</t>
        </is>
      </c>
    </row>
    <row r="21">
      <c r="A21" s="0" t="inlineStr">
        <is>
          <t>2026-03-19</t>
        </is>
      </c>
      <c r="B21" s="0" t="n">
        <v>20</v>
      </c>
      <c r="C21" s="0" t="inlineStr">
        <is>
          <t>Mann Mera</t>
        </is>
      </c>
      <c r="D21" s="0" t="inlineStr">
        <is>
          <t>Gajendra Verma</t>
        </is>
      </c>
    </row>
    <row r="22">
      <c r="A22" s="0" t="inlineStr">
        <is>
          <t>2026-03-19</t>
        </is>
      </c>
      <c r="B22" s="0" t="n">
        <v>21</v>
      </c>
      <c r="C22" s="0" t="inlineStr">
        <is>
          <t>Saiyaara</t>
        </is>
      </c>
      <c r="D22" s="0" t="inlineStr">
        <is>
          <t>Tanishk Bagchi, Faheem Abdullah, Arslan Nizami, Irshad Kamil</t>
        </is>
      </c>
    </row>
    <row r="23">
      <c r="A23" s="0" t="inlineStr">
        <is>
          <t>2026-03-19</t>
        </is>
      </c>
      <c r="B23" s="0" t="n">
        <v>22</v>
      </c>
      <c r="C23" s="0" t="inlineStr">
        <is>
          <t>Ishqa Ve</t>
        </is>
      </c>
      <c r="D23" s="0" t="inlineStr">
        <is>
          <t>Zeeshan Ali, Yuvraj Tung, Sandeep Aulakh, Honey Dhillon</t>
        </is>
      </c>
    </row>
    <row r="24">
      <c r="A24" s="0" t="inlineStr">
        <is>
          <t>2026-03-19</t>
        </is>
      </c>
      <c r="B24" s="0" t="n">
        <v>23</v>
      </c>
      <c r="C24" s="0" t="inlineStr">
        <is>
          <t>Raanjhan (From "Do Patti")</t>
        </is>
      </c>
      <c r="D24" s="0" t="inlineStr">
        <is>
          <t>Sachet-Parampara, Parampara Tandon, Kausar Munir</t>
        </is>
      </c>
    </row>
    <row r="25">
      <c r="A25" s="0" t="inlineStr">
        <is>
          <t>2026-03-19</t>
        </is>
      </c>
      <c r="B25" s="0" t="n">
        <v>24</v>
      </c>
      <c r="C25" s="0" t="inlineStr">
        <is>
          <t>Deewaana Deewaana</t>
        </is>
      </c>
      <c r="D25" s="0" t="inlineStr">
        <is>
          <t>A.R. Rahman, Irshad Kamil</t>
        </is>
      </c>
    </row>
    <row r="26">
      <c r="A26" s="0" t="inlineStr">
        <is>
          <t>2026-03-19</t>
        </is>
      </c>
      <c r="B26" s="0" t="n">
        <v>25</v>
      </c>
      <c r="C26" s="0" t="inlineStr">
        <is>
          <t>Darkhaast</t>
        </is>
      </c>
      <c r="D26" s="0" t="inlineStr">
        <is>
          <t>Mithoon, Arijit Singh, Sunidhi Chauhan, Sayeed Quadri</t>
        </is>
      </c>
    </row>
    <row r="27">
      <c r="A27" s="0" t="inlineStr">
        <is>
          <t>2026-03-19</t>
        </is>
      </c>
      <c r="B27" s="0" t="n">
        <v>26</v>
      </c>
      <c r="C27" s="0" t="inlineStr">
        <is>
          <t>Tere Liye</t>
        </is>
      </c>
      <c r="D27" s="0" t="inlineStr">
        <is>
          <t>Atif Aslam, Shreya Ghoshal, Sachin Gupta, Sameer Anjaan</t>
        </is>
      </c>
    </row>
    <row r="28">
      <c r="A28" s="0" t="inlineStr">
        <is>
          <t>2026-03-19</t>
        </is>
      </c>
      <c r="B28" s="0" t="n">
        <v>27</v>
      </c>
      <c r="C28" s="0" t="inlineStr">
        <is>
          <t>Jo Tum Mere Ho</t>
        </is>
      </c>
      <c r="D28" s="0" t="inlineStr">
        <is>
          <t>Anuv Jain</t>
        </is>
      </c>
    </row>
    <row r="29">
      <c r="A29" s="0" t="inlineStr">
        <is>
          <t>2026-03-19</t>
        </is>
      </c>
      <c r="B29" s="0" t="n">
        <v>28</v>
      </c>
      <c r="C29" s="0" t="inlineStr">
        <is>
          <t>Agar Tum Saath Ho (From "Tamasha")</t>
        </is>
      </c>
      <c r="D29" s="0" t="inlineStr">
        <is>
          <t>Alka Yagnik, Arijit Singh</t>
        </is>
      </c>
    </row>
    <row r="30">
      <c r="A30" s="0" t="inlineStr">
        <is>
          <t>2026-03-19</t>
        </is>
      </c>
      <c r="B30" s="0" t="n">
        <v>29</v>
      </c>
      <c r="C30" s="0" t="inlineStr">
        <is>
          <t>Tere Bina</t>
        </is>
      </c>
      <c r="D30" s="0" t="inlineStr">
        <is>
          <t>A.R. Rahman, Chinmayi, Murtuza Khan, Qadir Khan</t>
        </is>
      </c>
    </row>
    <row r="31">
      <c r="A31" s="0" t="inlineStr">
        <is>
          <t>2026-03-19</t>
        </is>
      </c>
      <c r="B31" s="0" t="n">
        <v>30</v>
      </c>
      <c r="C31" s="0" t="inlineStr">
        <is>
          <t>Aaya Sher (From "The Paradise") (Telugu)</t>
        </is>
      </c>
      <c r="D31" s="0" t="inlineStr">
        <is>
          <t>Anirudh Ravichander, Jangi Reddy, Arjun Chandy, Kasarla Shyam</t>
        </is>
      </c>
    </row>
    <row r="32">
      <c r="A32" s="0" t="inlineStr">
        <is>
          <t>2026-03-19</t>
        </is>
      </c>
      <c r="B32" s="0" t="n">
        <v>31</v>
      </c>
      <c r="C32" s="0" t="inlineStr">
        <is>
          <t>Haseen</t>
        </is>
      </c>
      <c r="D32" s="0" t="inlineStr">
        <is>
          <t>Talwiinder, NDS, Rippy Grewal</t>
        </is>
      </c>
    </row>
    <row r="33">
      <c r="A33" s="0" t="inlineStr">
        <is>
          <t>2026-03-19</t>
        </is>
      </c>
      <c r="B33" s="0" t="n">
        <v>32</v>
      </c>
      <c r="C33" s="0" t="inlineStr">
        <is>
          <t>Not Guilty</t>
        </is>
      </c>
      <c r="D33" s="0" t="inlineStr">
        <is>
          <t>Dhanda Nyoliwala</t>
        </is>
      </c>
    </row>
    <row r="34">
      <c r="A34" s="0" t="inlineStr">
        <is>
          <t>2026-03-19</t>
        </is>
      </c>
      <c r="B34" s="0" t="n">
        <v>33</v>
      </c>
      <c r="C34" s="0" t="inlineStr">
        <is>
          <t>Naal Nachna</t>
        </is>
      </c>
      <c r="D34" s="0" t="inlineStr">
        <is>
          <t>Shashwat Sachdev, Afsana Khan, Irshad Kamil, Reble</t>
        </is>
      </c>
    </row>
    <row r="35">
      <c r="A35" s="0" t="inlineStr">
        <is>
          <t>2026-03-19</t>
        </is>
      </c>
      <c r="B35" s="0" t="n">
        <v>34</v>
      </c>
      <c r="C35" s="0" t="inlineStr">
        <is>
          <t>Tum Ho Toh (From "Saiyaara")</t>
        </is>
      </c>
      <c r="D35" s="0" t="inlineStr">
        <is>
          <t>Vishal Mishra, Hansika Pareek, Raj Shekhar</t>
        </is>
      </c>
    </row>
    <row r="36">
      <c r="A36" s="0" t="inlineStr">
        <is>
          <t>2026-03-19</t>
        </is>
      </c>
      <c r="B36" s="0" t="n">
        <v>35</v>
      </c>
      <c r="C36" s="0" t="inlineStr">
        <is>
          <t>Barbaad (From "Saiyaara")</t>
        </is>
      </c>
      <c r="D36" s="0" t="inlineStr">
        <is>
          <t>The Rish, Jubin Nautiyal</t>
        </is>
      </c>
    </row>
    <row r="37">
      <c r="A37" s="0" t="inlineStr">
        <is>
          <t>2026-03-19</t>
        </is>
      </c>
      <c r="B37" s="0" t="n">
        <v>36</v>
      </c>
      <c r="C37" s="0" t="inlineStr">
        <is>
          <t>KALYANI</t>
        </is>
      </c>
      <c r="D37" s="0" t="inlineStr">
        <is>
          <t>ARJN, KDS, FIFTY4, RONN</t>
        </is>
      </c>
    </row>
    <row r="38">
      <c r="A38" s="0" t="inlineStr">
        <is>
          <t>2026-03-19</t>
        </is>
      </c>
      <c r="B38" s="0" t="n">
        <v>37</v>
      </c>
      <c r="C38" s="0" t="inlineStr">
        <is>
          <t>Lutt Le Gaya</t>
        </is>
      </c>
      <c r="D38" s="0" t="inlineStr">
        <is>
          <t>Shashwat Sachdev, Simran Choudhary</t>
        </is>
      </c>
    </row>
    <row r="39">
      <c r="A39" s="0" t="inlineStr">
        <is>
          <t>2026-03-19</t>
        </is>
      </c>
      <c r="B39" s="0" t="n">
        <v>38</v>
      </c>
      <c r="C39" s="0" t="inlineStr">
        <is>
          <t>Jogi</t>
        </is>
      </c>
      <c r="D39" s="0" t="inlineStr">
        <is>
          <t>thiarajxtt, Bir</t>
        </is>
      </c>
    </row>
    <row r="40">
      <c r="A40" s="0" t="inlineStr">
        <is>
          <t>2026-03-19</t>
        </is>
      </c>
      <c r="B40" s="0" t="n">
        <v>39</v>
      </c>
      <c r="C40" s="0" t="inlineStr">
        <is>
          <t>Ye Tune Kya Kiya</t>
        </is>
      </c>
      <c r="D40" s="0" t="inlineStr">
        <is>
          <t>Pritam, Javed Bashir, Rajat Arora</t>
        </is>
      </c>
    </row>
    <row r="41">
      <c r="A41" s="0" t="inlineStr">
        <is>
          <t>2026-03-19</t>
        </is>
      </c>
      <c r="B41" s="0" t="n">
        <v>40</v>
      </c>
      <c r="C41" s="0" t="inlineStr">
        <is>
          <t>Ehsaas</t>
        </is>
      </c>
      <c r="D41" s="0" t="inlineStr">
        <is>
          <t>Faheem Abdullah, Duha Shah, Vaibhav Pani, Hyder Dar</t>
        </is>
      </c>
    </row>
    <row r="42">
      <c r="A42" s="0" t="inlineStr">
        <is>
          <t>2026-03-19</t>
        </is>
      </c>
      <c r="B42" s="0" t="n">
        <v>41</v>
      </c>
      <c r="C42" s="0" t="inlineStr">
        <is>
          <t>Ishq Jalakar - Karvaan</t>
        </is>
      </c>
      <c r="D42" s="0" t="inlineStr">
        <is>
          <t>Shashwat Sachdev, Shahzad Ali, Subhadeep Das Chowdhury, Armaan Khan, Irshad Kamil, Roshan, Sahir Ludhianvi</t>
        </is>
      </c>
    </row>
    <row r="43">
      <c r="A43" s="0" t="inlineStr">
        <is>
          <t>2026-03-19</t>
        </is>
      </c>
      <c r="B43" s="0" t="n">
        <v>42</v>
      </c>
      <c r="C43" s="0" t="inlineStr">
        <is>
          <t>Mutta Kalakki (From "Youth")</t>
        </is>
      </c>
      <c r="D43" s="0" t="inlineStr">
        <is>
          <t>G. V. Prakash, Ken Karunaas</t>
        </is>
      </c>
    </row>
    <row r="44">
      <c r="A44" s="0" t="inlineStr">
        <is>
          <t>2026-03-19</t>
        </is>
      </c>
      <c r="B44" s="0" t="n">
        <v>43</v>
      </c>
      <c r="C44" s="0" t="inlineStr">
        <is>
          <t>Humdard (From "Ek Villain")</t>
        </is>
      </c>
      <c r="D44" s="0" t="inlineStr">
        <is>
          <t>Arijit Singh</t>
        </is>
      </c>
    </row>
    <row r="45">
      <c r="A45" s="0" t="inlineStr">
        <is>
          <t>2026-03-19</t>
        </is>
      </c>
      <c r="B45" s="0" t="n">
        <v>44</v>
      </c>
      <c r="C45" s="0" t="inlineStr">
        <is>
          <t>Jhol - Acoustic</t>
        </is>
      </c>
      <c r="D45" s="0" t="inlineStr">
        <is>
          <t>Maanu, Annural Khalid, Abdullah Siddiqui</t>
        </is>
      </c>
    </row>
    <row r="46">
      <c r="A46" s="0" t="inlineStr">
        <is>
          <t>2026-03-19</t>
        </is>
      </c>
      <c r="B46" s="0" t="n">
        <v>45</v>
      </c>
      <c r="C46" s="0" t="inlineStr">
        <is>
          <t>Oorum Blood</t>
        </is>
      </c>
      <c r="D46" s="0" t="inlineStr">
        <is>
          <t>Sai Abhyankkar, Paal Dabba, Bhumi, Deepthi Suresh</t>
        </is>
      </c>
    </row>
    <row r="47">
      <c r="A47" s="0" t="inlineStr">
        <is>
          <t>2026-03-19</t>
        </is>
      </c>
      <c r="B47" s="0" t="n">
        <v>46</v>
      </c>
      <c r="C47" s="0" t="inlineStr">
        <is>
          <t>Teri Deewani</t>
        </is>
      </c>
      <c r="D47" s="0" t="inlineStr">
        <is>
          <t>Kailash Kher, Paresh Kamath, Naresh Kamath</t>
        </is>
      </c>
    </row>
    <row r="48">
      <c r="A48" s="0" t="inlineStr">
        <is>
          <t>2026-03-19</t>
        </is>
      </c>
      <c r="B48" s="0" t="n">
        <v>47</v>
      </c>
      <c r="C48" s="0" t="inlineStr">
        <is>
          <t>Dhun (From "Saiyaara")</t>
        </is>
      </c>
      <c r="D48" s="0" t="inlineStr">
        <is>
          <t>Mithoon, Arijit Singh</t>
        </is>
      </c>
    </row>
    <row r="49">
      <c r="A49" s="0" t="inlineStr">
        <is>
          <t>2026-03-19</t>
        </is>
      </c>
      <c r="B49" s="0" t="n">
        <v>48</v>
      </c>
      <c r="C49" s="0" t="inlineStr">
        <is>
          <t>Zaalima</t>
        </is>
      </c>
      <c r="D49" s="0" t="inlineStr">
        <is>
          <t>Arijit Singh, Harshdeep Kaur</t>
        </is>
      </c>
    </row>
    <row r="50">
      <c r="A50" s="0" t="inlineStr">
        <is>
          <t>2026-03-19</t>
        </is>
      </c>
      <c r="B50" s="0" t="n">
        <v>49</v>
      </c>
      <c r="C50" s="0" t="inlineStr">
        <is>
          <t>Mann Mera - Original Version</t>
        </is>
      </c>
      <c r="D50" s="0" t="inlineStr">
        <is>
          <t>Gajendra Verma</t>
        </is>
      </c>
    </row>
    <row r="51">
      <c r="A51" s="0" t="inlineStr">
        <is>
          <t>2026-03-19</t>
        </is>
      </c>
      <c r="B51" s="0" t="n">
        <v>50</v>
      </c>
      <c r="C51" s="0" t="inlineStr">
        <is>
          <t>Kithe Reh Gaya</t>
        </is>
      </c>
      <c r="D51" s="0" t="inlineStr">
        <is>
          <t>Neeti Mohan, Abhijit Vaghani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Date</t>
        </is>
      </c>
      <c r="B1" s="24" t="inlineStr">
        <is>
          <t>Rank</t>
        </is>
      </c>
      <c r="C1" s="24" t="inlineStr">
        <is>
          <t>Song</t>
        </is>
      </c>
      <c r="D1" s="24" t="inlineStr">
        <is>
          <t>Artist</t>
        </is>
      </c>
    </row>
    <row r="2">
      <c r="A2" s="0" t="inlineStr">
        <is>
          <t>2026-03-20</t>
        </is>
      </c>
      <c r="B2" s="0" t="n">
        <v>1</v>
      </c>
      <c r="C2" s="0" t="inlineStr">
        <is>
          <t>Bairan</t>
        </is>
      </c>
      <c r="D2" s="0" t="inlineStr">
        <is>
          <t>Banjaare</t>
        </is>
      </c>
    </row>
    <row r="3">
      <c r="A3" s="0" t="inlineStr">
        <is>
          <t>2026-03-20</t>
        </is>
      </c>
      <c r="B3" s="0" t="n">
        <v>2</v>
      </c>
      <c r="C3" s="0" t="inlineStr">
        <is>
          <t>Sheesha - Aakhya Mai Aakh Ghali Jo Bairan</t>
        </is>
      </c>
      <c r="D3" s="0" t="inlineStr">
        <is>
          <t>Mitta Ror, Swara Verma</t>
        </is>
      </c>
    </row>
    <row r="4">
      <c r="A4" s="0" t="inlineStr">
        <is>
          <t>2026-03-20</t>
        </is>
      </c>
      <c r="B4" s="0" t="n">
        <v>3</v>
      </c>
      <c r="C4" s="0" t="inlineStr">
        <is>
          <t>Gehra Hua</t>
        </is>
      </c>
      <c r="D4" s="0" t="inlineStr">
        <is>
          <t>Shashwat Sachdev, Arijit Singh, Irshad Kamil, Armaan Khan</t>
        </is>
      </c>
    </row>
    <row r="5">
      <c r="A5" s="0" t="inlineStr">
        <is>
          <t>2026-03-20</t>
        </is>
      </c>
      <c r="B5" s="0" t="n">
        <v>4</v>
      </c>
      <c r="C5" s="0" t="inlineStr">
        <is>
          <t>Dhurandhar The Revenge - Aari Aari (From "Dhurandhar The Revenge")</t>
        </is>
      </c>
      <c r="D5" s="0" t="inlineStr">
        <is>
          <t>Shashwat Sachdev, Bombay Rockers, Irshad Kamil, Khan Saab, Reble, Token, Jasmine Sandlas, Sudhir Yaduvanshi</t>
        </is>
      </c>
    </row>
    <row r="6">
      <c r="A6" s="0" t="inlineStr">
        <is>
          <t>2026-03-20</t>
        </is>
      </c>
      <c r="B6" s="0" t="n">
        <v>5</v>
      </c>
      <c r="C6" s="0" t="inlineStr">
        <is>
          <t>Khat</t>
        </is>
      </c>
      <c r="D6" s="0" t="inlineStr">
        <is>
          <t>Navjot Ahuja</t>
        </is>
      </c>
    </row>
    <row r="7">
      <c r="A7" s="0" t="inlineStr">
        <is>
          <t>2026-03-20</t>
        </is>
      </c>
      <c r="B7" s="0" t="n">
        <v>6</v>
      </c>
      <c r="C7" s="0" t="inlineStr">
        <is>
          <t>Dooron Dooron</t>
        </is>
      </c>
      <c r="D7" s="0" t="inlineStr">
        <is>
          <t>Paresh Pahuja, Shiv Tandan, Meghdeep Bose</t>
        </is>
      </c>
    </row>
    <row r="8">
      <c r="A8" s="0" t="inlineStr">
        <is>
          <t>2026-03-20</t>
        </is>
      </c>
      <c r="B8" s="0" t="n">
        <v>7</v>
      </c>
      <c r="C8" s="0" t="inlineStr">
        <is>
          <t>Sitaare (From "Ikkis")</t>
        </is>
      </c>
      <c r="D8" s="0" t="inlineStr">
        <is>
          <t>Arijit Singh, White Noise Collectives, Amitabh Bhattacharya</t>
        </is>
      </c>
    </row>
    <row r="9">
      <c r="A9" s="0" t="inlineStr">
        <is>
          <t>2026-03-20</t>
        </is>
      </c>
      <c r="B9" s="0" t="n">
        <v>8</v>
      </c>
      <c r="C9" s="0" t="inlineStr">
        <is>
          <t>Sahiba</t>
        </is>
      </c>
      <c r="D9" s="0" t="inlineStr">
        <is>
          <t>Aditya Rikhari</t>
        </is>
      </c>
    </row>
    <row r="10">
      <c r="A10" s="0" t="inlineStr">
        <is>
          <t>2026-03-20</t>
        </is>
      </c>
      <c r="B10" s="0" t="n">
        <v>9</v>
      </c>
      <c r="C10" s="0" t="inlineStr">
        <is>
          <t>Body to Body</t>
        </is>
      </c>
      <c r="D10" s="0" t="inlineStr">
        <is>
          <t>BTS</t>
        </is>
      </c>
    </row>
    <row r="11">
      <c r="A11" s="0" t="inlineStr">
        <is>
          <t>2026-03-20</t>
        </is>
      </c>
      <c r="B11" s="0" t="n">
        <v>10</v>
      </c>
      <c r="C11" s="0" t="inlineStr">
        <is>
          <t>SWIM</t>
        </is>
      </c>
      <c r="D11" s="0" t="inlineStr">
        <is>
          <t>BTS</t>
        </is>
      </c>
    </row>
    <row r="12">
      <c r="A12" s="0" t="inlineStr">
        <is>
          <t>2026-03-20</t>
        </is>
      </c>
      <c r="B12" s="0" t="n">
        <v>11</v>
      </c>
      <c r="C12" s="0" t="inlineStr">
        <is>
          <t>Samjhawan</t>
        </is>
      </c>
      <c r="D12" s="0" t="inlineStr">
        <is>
          <t>Jawad Ahmad, Shaarib Toshi, Arijit Singh, Shreya Ghoshal</t>
        </is>
      </c>
    </row>
    <row r="13">
      <c r="A13" s="0" t="inlineStr">
        <is>
          <t>2026-03-20</t>
        </is>
      </c>
      <c r="B13" s="0" t="n">
        <v>12</v>
      </c>
      <c r="C13" s="0" t="inlineStr">
        <is>
          <t>Finding Her</t>
        </is>
      </c>
      <c r="D13" s="0" t="inlineStr">
        <is>
          <t>Kushagra, Bharath, Saaheal</t>
        </is>
      </c>
    </row>
    <row r="14">
      <c r="A14" s="0" t="inlineStr">
        <is>
          <t>2026-03-20</t>
        </is>
      </c>
      <c r="B14" s="0" t="n">
        <v>13</v>
      </c>
      <c r="C14" s="0" t="inlineStr">
        <is>
          <t>Apna Bana Le</t>
        </is>
      </c>
      <c r="D14" s="0" t="inlineStr">
        <is>
          <t>Sachin-Jigar, Arijit Singh, Amitabh Bhattacharya</t>
        </is>
      </c>
    </row>
    <row r="15">
      <c r="A15" s="0" t="inlineStr">
        <is>
          <t>2026-03-20</t>
        </is>
      </c>
      <c r="B15" s="0" t="n">
        <v>14</v>
      </c>
      <c r="C15" s="0" t="inlineStr">
        <is>
          <t>Arz Kiya Hai | Coke Studio Bharat</t>
        </is>
      </c>
      <c r="D15" s="0" t="inlineStr">
        <is>
          <t>Anuv Jain</t>
        </is>
      </c>
    </row>
    <row r="16">
      <c r="A16" s="0" t="inlineStr">
        <is>
          <t>2026-03-20</t>
        </is>
      </c>
      <c r="B16" s="0" t="n">
        <v>15</v>
      </c>
      <c r="C16" s="0" t="inlineStr">
        <is>
          <t>Shararat</t>
        </is>
      </c>
      <c r="D16" s="0" t="inlineStr">
        <is>
          <t>Shashwat Sachdev, Madhubanti Bagchi, Jasmine Sandlas</t>
        </is>
      </c>
    </row>
    <row r="17">
      <c r="A17" s="0" t="inlineStr">
        <is>
          <t>2026-03-20</t>
        </is>
      </c>
      <c r="B17" s="0" t="n">
        <v>16</v>
      </c>
      <c r="C17" s="0" t="inlineStr">
        <is>
          <t>Dhurandhar - Title Track</t>
        </is>
      </c>
      <c r="D17" s="0" t="inlineStr">
        <is>
          <t>Shashwat Sachdev, Hanumankind, Jasmine Sandlas, Sudhir Yaduvanshi, Charanjit Ahuja, Muhammad Sadiq, Ranjit Kaur, Babu Singh Maan</t>
        </is>
      </c>
    </row>
    <row r="18">
      <c r="A18" s="0" t="inlineStr">
        <is>
          <t>2026-03-20</t>
        </is>
      </c>
      <c r="B18" s="0" t="n">
        <v>17</v>
      </c>
      <c r="C18" s="0" t="inlineStr">
        <is>
          <t>For A Reason</t>
        </is>
      </c>
      <c r="D18" s="0" t="inlineStr">
        <is>
          <t>Karan Aujla, Ikky</t>
        </is>
      </c>
    </row>
    <row r="19">
      <c r="A19" s="0" t="inlineStr">
        <is>
          <t>2026-03-20</t>
        </is>
      </c>
      <c r="B19" s="0" t="n">
        <v>18</v>
      </c>
      <c r="C19" s="0" t="inlineStr">
        <is>
          <t>Pavazha Malli - From "Think Indie"</t>
        </is>
      </c>
      <c r="D19" s="0" t="inlineStr">
        <is>
          <t>Sai Abhyankkar, Shruti Haasan, Vivek</t>
        </is>
      </c>
    </row>
    <row r="20">
      <c r="A20" s="0" t="inlineStr">
        <is>
          <t>2026-03-20</t>
        </is>
      </c>
      <c r="B20" s="0" t="n">
        <v>19</v>
      </c>
      <c r="C20" s="0" t="inlineStr">
        <is>
          <t>Bairi</t>
        </is>
      </c>
      <c r="D20" s="0" t="inlineStr">
        <is>
          <t>Virat, Pradeep Solanki, Heena</t>
        </is>
      </c>
    </row>
    <row r="21">
      <c r="A21" s="0" t="inlineStr">
        <is>
          <t>2026-03-20</t>
        </is>
      </c>
      <c r="B21" s="0" t="n">
        <v>20</v>
      </c>
      <c r="C21" s="0" t="inlineStr">
        <is>
          <t>Boyfriend</t>
        </is>
      </c>
      <c r="D21" s="0" t="inlineStr">
        <is>
          <t>Karan Aujla, Ikky</t>
        </is>
      </c>
    </row>
    <row r="22">
      <c r="A22" s="0" t="inlineStr">
        <is>
          <t>2026-03-20</t>
        </is>
      </c>
      <c r="B22" s="0" t="n">
        <v>21</v>
      </c>
      <c r="C22" s="0" t="inlineStr">
        <is>
          <t>Ishqa Ve</t>
        </is>
      </c>
      <c r="D22" s="0" t="inlineStr">
        <is>
          <t>Zeeshan Ali, Yuvraj Tung, Sandeep Aulakh, Honey Dhillon</t>
        </is>
      </c>
    </row>
    <row r="23">
      <c r="A23" s="0" t="inlineStr">
        <is>
          <t>2026-03-20</t>
        </is>
      </c>
      <c r="B23" s="0" t="n">
        <v>22</v>
      </c>
      <c r="C23" s="0" t="inlineStr">
        <is>
          <t>Ishq</t>
        </is>
      </c>
      <c r="D23" s="0" t="inlineStr">
        <is>
          <t>Faheem Abdullah, Rauhan Malik, Amir Ameer</t>
        </is>
      </c>
    </row>
    <row r="24">
      <c r="A24" s="0" t="inlineStr">
        <is>
          <t>2026-03-20</t>
        </is>
      </c>
      <c r="B24" s="0" t="n">
        <v>23</v>
      </c>
      <c r="C24" s="0" t="inlineStr">
        <is>
          <t>Mann Mera</t>
        </is>
      </c>
      <c r="D24" s="0" t="inlineStr">
        <is>
          <t>Gajendra Verma</t>
        </is>
      </c>
    </row>
    <row r="25">
      <c r="A25" s="0" t="inlineStr">
        <is>
          <t>2026-03-20</t>
        </is>
      </c>
      <c r="B25" s="0" t="n">
        <v>24</v>
      </c>
      <c r="C25" s="0" t="inlineStr">
        <is>
          <t>Saiyaara</t>
        </is>
      </c>
      <c r="D25" s="0" t="inlineStr">
        <is>
          <t>Tanishk Bagchi, Faheem Abdullah, Arslan Nizami, Irshad Kamil</t>
        </is>
      </c>
    </row>
    <row r="26">
      <c r="A26" s="0" t="inlineStr">
        <is>
          <t>2026-03-20</t>
        </is>
      </c>
      <c r="B26" s="0" t="n">
        <v>25</v>
      </c>
      <c r="C26" s="0" t="inlineStr">
        <is>
          <t>Deewaana Deewaana</t>
        </is>
      </c>
      <c r="D26" s="0" t="inlineStr">
        <is>
          <t>A.R. Rahman, Irshad Kamil</t>
        </is>
      </c>
    </row>
    <row r="27">
      <c r="A27" s="0" t="inlineStr">
        <is>
          <t>2026-03-20</t>
        </is>
      </c>
      <c r="B27" s="0" t="n">
        <v>26</v>
      </c>
      <c r="C27" s="0" t="inlineStr">
        <is>
          <t>Tere Liye</t>
        </is>
      </c>
      <c r="D27" s="0" t="inlineStr">
        <is>
          <t>Atif Aslam, Shreya Ghoshal, Sachin Gupta, Sameer Anjaan</t>
        </is>
      </c>
    </row>
    <row r="28">
      <c r="A28" s="0" t="inlineStr">
        <is>
          <t>2026-03-20</t>
        </is>
      </c>
      <c r="B28" s="0" t="n">
        <v>27</v>
      </c>
      <c r="C28" s="0" t="inlineStr">
        <is>
          <t>Raanjhan (From "Do Patti")</t>
        </is>
      </c>
      <c r="D28" s="0" t="inlineStr">
        <is>
          <t>Sachet-Parampara, Parampara Tandon, Kausar Munir</t>
        </is>
      </c>
    </row>
    <row r="29">
      <c r="A29" s="0" t="inlineStr">
        <is>
          <t>2026-03-20</t>
        </is>
      </c>
      <c r="B29" s="0" t="n">
        <v>28</v>
      </c>
      <c r="C29" s="0" t="inlineStr">
        <is>
          <t>Hooligan</t>
        </is>
      </c>
      <c r="D29" s="0" t="inlineStr">
        <is>
          <t>BTS</t>
        </is>
      </c>
    </row>
    <row r="30">
      <c r="A30" s="0" t="inlineStr">
        <is>
          <t>2026-03-20</t>
        </is>
      </c>
      <c r="B30" s="0" t="n">
        <v>29</v>
      </c>
      <c r="C30" s="0" t="inlineStr">
        <is>
          <t>Darkhaast</t>
        </is>
      </c>
      <c r="D30" s="0" t="inlineStr">
        <is>
          <t>Mithoon, Arijit Singh, Sunidhi Chauhan, Sayeed Quadri</t>
        </is>
      </c>
    </row>
    <row r="31">
      <c r="A31" s="0" t="inlineStr">
        <is>
          <t>2026-03-20</t>
        </is>
      </c>
      <c r="B31" s="0" t="n">
        <v>30</v>
      </c>
      <c r="C31" s="0" t="inlineStr">
        <is>
          <t>Naal Nachna</t>
        </is>
      </c>
      <c r="D31" s="0" t="inlineStr">
        <is>
          <t>Shashwat Sachdev, Afsana Khan, Irshad Kamil, Reble</t>
        </is>
      </c>
    </row>
    <row r="32">
      <c r="A32" s="0" t="inlineStr">
        <is>
          <t>2026-03-20</t>
        </is>
      </c>
      <c r="B32" s="0" t="n">
        <v>31</v>
      </c>
      <c r="C32" s="0" t="inlineStr">
        <is>
          <t>Agar Tum Saath Ho (From "Tamasha")</t>
        </is>
      </c>
      <c r="D32" s="0" t="inlineStr">
        <is>
          <t>Alka Yagnik, Arijit Singh</t>
        </is>
      </c>
    </row>
    <row r="33">
      <c r="A33" s="0" t="inlineStr">
        <is>
          <t>2026-03-20</t>
        </is>
      </c>
      <c r="B33" s="0" t="n">
        <v>32</v>
      </c>
      <c r="C33" s="0" t="inlineStr">
        <is>
          <t>Jo Tum Mere Ho</t>
        </is>
      </c>
      <c r="D33" s="0" t="inlineStr">
        <is>
          <t>Anuv Jain</t>
        </is>
      </c>
    </row>
    <row r="34">
      <c r="A34" s="0" t="inlineStr">
        <is>
          <t>2026-03-20</t>
        </is>
      </c>
      <c r="B34" s="0" t="n">
        <v>33</v>
      </c>
      <c r="C34" s="0" t="inlineStr">
        <is>
          <t>Aaya Sher (From "The Paradise") (Telugu)</t>
        </is>
      </c>
      <c r="D34" s="0" t="inlineStr">
        <is>
          <t>Anirudh Ravichander, Jangi Reddy, Arjun Chandy, Kasarla Shyam</t>
        </is>
      </c>
    </row>
    <row r="35">
      <c r="A35" s="0" t="inlineStr">
        <is>
          <t>2026-03-20</t>
        </is>
      </c>
      <c r="B35" s="0" t="n">
        <v>34</v>
      </c>
      <c r="C35" s="0" t="inlineStr">
        <is>
          <t>Lutt Le Gaya</t>
        </is>
      </c>
      <c r="D35" s="0" t="inlineStr">
        <is>
          <t>Shashwat Sachdev, Simran Choudhary</t>
        </is>
      </c>
    </row>
    <row r="36">
      <c r="A36" s="0" t="inlineStr">
        <is>
          <t>2026-03-20</t>
        </is>
      </c>
      <c r="B36" s="0" t="n">
        <v>35</v>
      </c>
      <c r="C36" s="0" t="inlineStr">
        <is>
          <t>Tere Bina</t>
        </is>
      </c>
      <c r="D36" s="0" t="inlineStr">
        <is>
          <t>A.R. Rahman, Chinmayi, Murtuza Khan, Qadir Khan</t>
        </is>
      </c>
    </row>
    <row r="37">
      <c r="A37" s="0" t="inlineStr">
        <is>
          <t>2026-03-20</t>
        </is>
      </c>
      <c r="B37" s="0" t="n">
        <v>36</v>
      </c>
      <c r="C37" s="0" t="inlineStr">
        <is>
          <t>Jogi</t>
        </is>
      </c>
      <c r="D37" s="0" t="inlineStr">
        <is>
          <t>thiarajxtt, Bir</t>
        </is>
      </c>
    </row>
    <row r="38">
      <c r="A38" s="0" t="inlineStr">
        <is>
          <t>2026-03-20</t>
        </is>
      </c>
      <c r="B38" s="0" t="n">
        <v>37</v>
      </c>
      <c r="C38" s="0" t="inlineStr">
        <is>
          <t>Haseen</t>
        </is>
      </c>
      <c r="D38" s="0" t="inlineStr">
        <is>
          <t>Talwiinder, NDS, Rippy Grewal</t>
        </is>
      </c>
    </row>
    <row r="39">
      <c r="A39" s="0" t="inlineStr">
        <is>
          <t>2026-03-20</t>
        </is>
      </c>
      <c r="B39" s="0" t="n">
        <v>38</v>
      </c>
      <c r="C39" s="0" t="inlineStr">
        <is>
          <t>Ishq Jalakar - Karvaan</t>
        </is>
      </c>
      <c r="D39" s="0" t="inlineStr">
        <is>
          <t>Shashwat Sachdev, Shahzad Ali, Subhadeep Das Chowdhury, Armaan Khan, Irshad Kamil, Roshan, Sahir Ludhianvi</t>
        </is>
      </c>
    </row>
    <row r="40">
      <c r="A40" s="0" t="inlineStr">
        <is>
          <t>2026-03-20</t>
        </is>
      </c>
      <c r="B40" s="0" t="n">
        <v>39</v>
      </c>
      <c r="C40" s="0" t="inlineStr">
        <is>
          <t>KALYANI</t>
        </is>
      </c>
      <c r="D40" s="0" t="inlineStr">
        <is>
          <t>ARJN, KDS, FIFTY4, RONN</t>
        </is>
      </c>
    </row>
    <row r="41">
      <c r="A41" s="0" t="inlineStr">
        <is>
          <t>2026-03-20</t>
        </is>
      </c>
      <c r="B41" s="0" t="n">
        <v>40</v>
      </c>
      <c r="C41" s="0" t="inlineStr">
        <is>
          <t>FYA</t>
        </is>
      </c>
      <c r="D41" s="0" t="inlineStr">
        <is>
          <t>BTS</t>
        </is>
      </c>
    </row>
    <row r="42">
      <c r="A42" s="0" t="inlineStr">
        <is>
          <t>2026-03-20</t>
        </is>
      </c>
      <c r="B42" s="0" t="n">
        <v>41</v>
      </c>
      <c r="C42" s="0" t="inlineStr">
        <is>
          <t>Tum Ho Toh (From "Saiyaara")</t>
        </is>
      </c>
      <c r="D42" s="0" t="inlineStr">
        <is>
          <t>Vishal Mishra, Hansika Pareek, Raj Shekhar</t>
        </is>
      </c>
    </row>
    <row r="43">
      <c r="A43" s="0" t="inlineStr">
        <is>
          <t>2026-03-20</t>
        </is>
      </c>
      <c r="B43" s="0" t="n">
        <v>42</v>
      </c>
      <c r="C43" s="0" t="inlineStr">
        <is>
          <t>Ye Tune Kya Kiya</t>
        </is>
      </c>
      <c r="D43" s="0" t="inlineStr">
        <is>
          <t>Pritam, Javed Bashir, Rajat Arora</t>
        </is>
      </c>
    </row>
    <row r="44">
      <c r="A44" s="0" t="inlineStr">
        <is>
          <t>2026-03-20</t>
        </is>
      </c>
      <c r="B44" s="0" t="n">
        <v>43</v>
      </c>
      <c r="C44" s="0" t="inlineStr">
        <is>
          <t>Aliens</t>
        </is>
      </c>
      <c r="D44" s="0" t="inlineStr">
        <is>
          <t>BTS</t>
        </is>
      </c>
    </row>
    <row r="45">
      <c r="A45" s="0" t="inlineStr">
        <is>
          <t>2026-03-20</t>
        </is>
      </c>
      <c r="B45" s="0" t="n">
        <v>44</v>
      </c>
      <c r="C45" s="0" t="inlineStr">
        <is>
          <t>Barbaad (From "Saiyaara")</t>
        </is>
      </c>
      <c r="D45" s="0" t="inlineStr">
        <is>
          <t>The Rish, Jubin Nautiyal</t>
        </is>
      </c>
    </row>
    <row r="46">
      <c r="A46" s="0" t="inlineStr">
        <is>
          <t>2026-03-20</t>
        </is>
      </c>
      <c r="B46" s="0" t="n">
        <v>45</v>
      </c>
      <c r="C46" s="0" t="inlineStr">
        <is>
          <t>Mutta Kalakki (From "Youth")</t>
        </is>
      </c>
      <c r="D46" s="0" t="inlineStr">
        <is>
          <t>G. V. Prakash, Ken Karunaas</t>
        </is>
      </c>
    </row>
    <row r="47">
      <c r="A47" s="0" t="inlineStr">
        <is>
          <t>2026-03-20</t>
        </is>
      </c>
      <c r="B47" s="0" t="n">
        <v>46</v>
      </c>
      <c r="C47" s="0" t="inlineStr">
        <is>
          <t>Not Guilty</t>
        </is>
      </c>
      <c r="D47" s="0" t="inlineStr">
        <is>
          <t>Dhanda Nyoliwala</t>
        </is>
      </c>
    </row>
    <row r="48">
      <c r="A48" s="0" t="inlineStr">
        <is>
          <t>2026-03-20</t>
        </is>
      </c>
      <c r="B48" s="0" t="n">
        <v>47</v>
      </c>
      <c r="C48" s="0" t="inlineStr">
        <is>
          <t>2.0</t>
        </is>
      </c>
      <c r="D48" s="0" t="inlineStr">
        <is>
          <t>BTS</t>
        </is>
      </c>
    </row>
    <row r="49">
      <c r="A49" s="0" t="inlineStr">
        <is>
          <t>2026-03-20</t>
        </is>
      </c>
      <c r="B49" s="0" t="n">
        <v>48</v>
      </c>
      <c r="C49" s="0" t="inlineStr">
        <is>
          <t>NORMAL</t>
        </is>
      </c>
      <c r="D49" s="0" t="inlineStr">
        <is>
          <t>BTS</t>
        </is>
      </c>
    </row>
    <row r="50">
      <c r="A50" s="0" t="inlineStr">
        <is>
          <t>2026-03-20</t>
        </is>
      </c>
      <c r="B50" s="0" t="n">
        <v>49</v>
      </c>
      <c r="C50" s="0" t="inlineStr">
        <is>
          <t>Ehsaas</t>
        </is>
      </c>
      <c r="D50" s="0" t="inlineStr">
        <is>
          <t>Faheem Abdullah, Duha Shah, Vaibhav Pani, Hyder Dar</t>
        </is>
      </c>
    </row>
    <row r="51">
      <c r="A51" s="0" t="inlineStr">
        <is>
          <t>2026-03-20</t>
        </is>
      </c>
      <c r="B51" s="0" t="n">
        <v>50</v>
      </c>
      <c r="C51" s="0" t="inlineStr">
        <is>
          <t>Merry Go Round</t>
        </is>
      </c>
      <c r="D51" s="0" t="inlineStr">
        <is>
          <t>BTS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Date</t>
        </is>
      </c>
      <c r="B1" s="24" t="inlineStr">
        <is>
          <t>Rank</t>
        </is>
      </c>
      <c r="C1" s="24" t="inlineStr">
        <is>
          <t>Song</t>
        </is>
      </c>
      <c r="D1" s="24" t="inlineStr">
        <is>
          <t>Artist</t>
        </is>
      </c>
    </row>
    <row r="2">
      <c r="A2" s="0" t="inlineStr">
        <is>
          <t>2026-03-21</t>
        </is>
      </c>
      <c r="B2" s="0" t="n">
        <v>1</v>
      </c>
      <c r="C2" s="0" t="inlineStr">
        <is>
          <t>Bairan</t>
        </is>
      </c>
      <c r="D2" s="0" t="inlineStr">
        <is>
          <t>Banjaare</t>
        </is>
      </c>
    </row>
    <row r="3">
      <c r="A3" s="0" t="inlineStr">
        <is>
          <t>2026-03-21</t>
        </is>
      </c>
      <c r="B3" s="0" t="n">
        <v>2</v>
      </c>
      <c r="C3" s="0" t="inlineStr">
        <is>
          <t>Sheesha - Aakhya Mai Aakh Ghali Jo Bairan</t>
        </is>
      </c>
      <c r="D3" s="0" t="inlineStr">
        <is>
          <t>Mitta Ror, Swara Verma</t>
        </is>
      </c>
    </row>
    <row r="4">
      <c r="A4" s="0" t="inlineStr">
        <is>
          <t>2026-03-21</t>
        </is>
      </c>
      <c r="B4" s="0" t="n">
        <v>3</v>
      </c>
      <c r="C4" s="0" t="inlineStr">
        <is>
          <t>Gehra Hua</t>
        </is>
      </c>
      <c r="D4" s="0" t="inlineStr">
        <is>
          <t>Shashwat Sachdev, Arijit Singh, Irshad Kamil, Armaan Khan</t>
        </is>
      </c>
    </row>
    <row r="5">
      <c r="A5" s="0" t="inlineStr">
        <is>
          <t>2026-03-21</t>
        </is>
      </c>
      <c r="B5" s="0" t="n">
        <v>4</v>
      </c>
      <c r="C5" s="0" t="inlineStr">
        <is>
          <t>Dhurandhar The Revenge - Aari Aari (From "Dhurandhar The Revenge")</t>
        </is>
      </c>
      <c r="D5" s="0" t="inlineStr">
        <is>
          <t>Shashwat Sachdev, Bombay Rockers, Irshad Kamil, Khan Saab, Reble, Token, Jasmine Sandlas, Sudhir Yaduvanshi</t>
        </is>
      </c>
    </row>
    <row r="6">
      <c r="A6" s="0" t="inlineStr">
        <is>
          <t>2026-03-21</t>
        </is>
      </c>
      <c r="B6" s="0" t="n">
        <v>5</v>
      </c>
      <c r="C6" s="0" t="inlineStr">
        <is>
          <t>Khat</t>
        </is>
      </c>
      <c r="D6" s="0" t="inlineStr">
        <is>
          <t>Navjot Ahuja</t>
        </is>
      </c>
    </row>
    <row r="7">
      <c r="A7" s="0" t="inlineStr">
        <is>
          <t>2026-03-21</t>
        </is>
      </c>
      <c r="B7" s="0" t="n">
        <v>6</v>
      </c>
      <c r="C7" s="0" t="inlineStr">
        <is>
          <t>Dooron Dooron</t>
        </is>
      </c>
      <c r="D7" s="0" t="inlineStr">
        <is>
          <t>Paresh Pahuja, Shiv Tandan, Meghdeep Bose</t>
        </is>
      </c>
    </row>
    <row r="8">
      <c r="A8" s="0" t="inlineStr">
        <is>
          <t>2026-03-21</t>
        </is>
      </c>
      <c r="B8" s="0" t="n">
        <v>7</v>
      </c>
      <c r="C8" s="0" t="inlineStr">
        <is>
          <t>Sahiba</t>
        </is>
      </c>
      <c r="D8" s="0" t="inlineStr">
        <is>
          <t>Aditya Rikhari</t>
        </is>
      </c>
    </row>
    <row r="9">
      <c r="A9" s="0" t="inlineStr">
        <is>
          <t>2026-03-21</t>
        </is>
      </c>
      <c r="B9" s="0" t="n">
        <v>8</v>
      </c>
      <c r="C9" s="0" t="inlineStr">
        <is>
          <t>Sitaare (From "Ikkis")</t>
        </is>
      </c>
      <c r="D9" s="0" t="inlineStr">
        <is>
          <t>Arijit Singh, White Noise Collectives, Amitabh Bhattacharya</t>
        </is>
      </c>
    </row>
    <row r="10">
      <c r="A10" s="0" t="inlineStr">
        <is>
          <t>2026-03-21</t>
        </is>
      </c>
      <c r="B10" s="0" t="n">
        <v>9</v>
      </c>
      <c r="C10" s="0" t="inlineStr">
        <is>
          <t>Samjhawan</t>
        </is>
      </c>
      <c r="D10" s="0" t="inlineStr">
        <is>
          <t>Jawad Ahmad, Shaarib Toshi, Arijit Singh, Shreya Ghoshal</t>
        </is>
      </c>
    </row>
    <row r="11">
      <c r="A11" s="0" t="inlineStr">
        <is>
          <t>2026-03-21</t>
        </is>
      </c>
      <c r="B11" s="0" t="n">
        <v>10</v>
      </c>
      <c r="C11" s="0" t="inlineStr">
        <is>
          <t>Finding Her</t>
        </is>
      </c>
      <c r="D11" s="0" t="inlineStr">
        <is>
          <t>Kushagra, Bharath, Saaheal</t>
        </is>
      </c>
    </row>
    <row r="12">
      <c r="A12" s="0" t="inlineStr">
        <is>
          <t>2026-03-21</t>
        </is>
      </c>
      <c r="B12" s="0" t="n">
        <v>11</v>
      </c>
      <c r="C12" s="0" t="inlineStr">
        <is>
          <t>Apna Bana Le</t>
        </is>
      </c>
      <c r="D12" s="0" t="inlineStr">
        <is>
          <t>Sachin-Jigar, Arijit Singh, Amitabh Bhattacharya</t>
        </is>
      </c>
    </row>
    <row r="13">
      <c r="A13" s="0" t="inlineStr">
        <is>
          <t>2026-03-21</t>
        </is>
      </c>
      <c r="B13" s="0" t="n">
        <v>12</v>
      </c>
      <c r="C13" s="0" t="inlineStr">
        <is>
          <t>Shararat</t>
        </is>
      </c>
      <c r="D13" s="0" t="inlineStr">
        <is>
          <t>Shashwat Sachdev, Madhubanti Bagchi, Jasmine Sandlas</t>
        </is>
      </c>
    </row>
    <row r="14">
      <c r="A14" s="0" t="inlineStr">
        <is>
          <t>2026-03-21</t>
        </is>
      </c>
      <c r="B14" s="0" t="n">
        <v>13</v>
      </c>
      <c r="C14" s="0" t="inlineStr">
        <is>
          <t>Dhurandhar - Title Track</t>
        </is>
      </c>
      <c r="D14" s="0" t="inlineStr">
        <is>
          <t>Shashwat Sachdev, Hanumankind, Jasmine Sandlas, Sudhir Yaduvanshi, Charanjit Ahuja, Muhammad Sadiq, Ranjit Kaur, Babu Singh Maan</t>
        </is>
      </c>
    </row>
    <row r="15">
      <c r="A15" s="0" t="inlineStr">
        <is>
          <t>2026-03-21</t>
        </is>
      </c>
      <c r="B15" s="0" t="n">
        <v>14</v>
      </c>
      <c r="C15" s="0" t="inlineStr">
        <is>
          <t>Arz Kiya Hai | Coke Studio Bharat</t>
        </is>
      </c>
      <c r="D15" s="0" t="inlineStr">
        <is>
          <t>Anuv Jain</t>
        </is>
      </c>
    </row>
    <row r="16">
      <c r="A16" s="0" t="inlineStr">
        <is>
          <t>2026-03-21</t>
        </is>
      </c>
      <c r="B16" s="0" t="n">
        <v>15</v>
      </c>
      <c r="C16" s="0" t="inlineStr">
        <is>
          <t>Pavazha Malli - From "Think Indie"</t>
        </is>
      </c>
      <c r="D16" s="0" t="inlineStr">
        <is>
          <t>Sai Abhyankkar, Shruti Haasan, Vivek</t>
        </is>
      </c>
    </row>
    <row r="17">
      <c r="A17" s="0" t="inlineStr">
        <is>
          <t>2026-03-21</t>
        </is>
      </c>
      <c r="B17" s="0" t="n">
        <v>16</v>
      </c>
      <c r="C17" s="0" t="inlineStr">
        <is>
          <t>For A Reason</t>
        </is>
      </c>
      <c r="D17" s="0" t="inlineStr">
        <is>
          <t>Karan Aujla, Ikky</t>
        </is>
      </c>
    </row>
    <row r="18">
      <c r="A18" s="0" t="inlineStr">
        <is>
          <t>2026-03-21</t>
        </is>
      </c>
      <c r="B18" s="0" t="n">
        <v>17</v>
      </c>
      <c r="C18" s="0" t="inlineStr">
        <is>
          <t>Boyfriend</t>
        </is>
      </c>
      <c r="D18" s="0" t="inlineStr">
        <is>
          <t>Karan Aujla, Ikky</t>
        </is>
      </c>
    </row>
    <row r="19">
      <c r="A19" s="0" t="inlineStr">
        <is>
          <t>2026-03-21</t>
        </is>
      </c>
      <c r="B19" s="0" t="n">
        <v>18</v>
      </c>
      <c r="C19" s="0" t="inlineStr">
        <is>
          <t>Bairi</t>
        </is>
      </c>
      <c r="D19" s="0" t="inlineStr">
        <is>
          <t>Virat, Pradeep Solanki, Heena</t>
        </is>
      </c>
    </row>
    <row r="20">
      <c r="A20" s="0" t="inlineStr">
        <is>
          <t>2026-03-21</t>
        </is>
      </c>
      <c r="B20" s="0" t="n">
        <v>19</v>
      </c>
      <c r="C20" s="0" t="inlineStr">
        <is>
          <t>Ishq</t>
        </is>
      </c>
      <c r="D20" s="0" t="inlineStr">
        <is>
          <t>Faheem Abdullah, Rauhan Malik, Amir Ameer</t>
        </is>
      </c>
    </row>
    <row r="21">
      <c r="A21" s="0" t="inlineStr">
        <is>
          <t>2026-03-21</t>
        </is>
      </c>
      <c r="B21" s="0" t="n">
        <v>20</v>
      </c>
      <c r="C21" s="0" t="inlineStr">
        <is>
          <t>Saiyaara</t>
        </is>
      </c>
      <c r="D21" s="0" t="inlineStr">
        <is>
          <t>Tanishk Bagchi, Faheem Abdullah, Arslan Nizami, Irshad Kamil</t>
        </is>
      </c>
    </row>
    <row r="22">
      <c r="A22" s="0" t="inlineStr">
        <is>
          <t>2026-03-21</t>
        </is>
      </c>
      <c r="B22" s="0" t="n">
        <v>21</v>
      </c>
      <c r="C22" s="0" t="inlineStr">
        <is>
          <t>Ishqa Ve</t>
        </is>
      </c>
      <c r="D22" s="0" t="inlineStr">
        <is>
          <t>Zeeshan Ali, Yuvraj Tung, Sandeep Aulakh, Honey Dhillon</t>
        </is>
      </c>
    </row>
    <row r="23">
      <c r="A23" s="0" t="inlineStr">
        <is>
          <t>2026-03-21</t>
        </is>
      </c>
      <c r="B23" s="0" t="n">
        <v>22</v>
      </c>
      <c r="C23" s="0" t="inlineStr">
        <is>
          <t>SWIM</t>
        </is>
      </c>
      <c r="D23" s="0" t="inlineStr">
        <is>
          <t>BTS</t>
        </is>
      </c>
    </row>
    <row r="24">
      <c r="A24" s="0" t="inlineStr">
        <is>
          <t>2026-03-21</t>
        </is>
      </c>
      <c r="B24" s="0" t="n">
        <v>23</v>
      </c>
      <c r="C24" s="0" t="inlineStr">
        <is>
          <t>Mann Mera</t>
        </is>
      </c>
      <c r="D24" s="0" t="inlineStr">
        <is>
          <t>Gajendra Verma</t>
        </is>
      </c>
    </row>
    <row r="25">
      <c r="A25" s="0" t="inlineStr">
        <is>
          <t>2026-03-21</t>
        </is>
      </c>
      <c r="B25" s="0" t="n">
        <v>24</v>
      </c>
      <c r="C25" s="0" t="inlineStr">
        <is>
          <t>Raanjhan (From "Do Patti")</t>
        </is>
      </c>
      <c r="D25" s="0" t="inlineStr">
        <is>
          <t>Sachet-Parampara, Parampara Tandon, Kausar Munir</t>
        </is>
      </c>
    </row>
    <row r="26">
      <c r="A26" s="0" t="inlineStr">
        <is>
          <t>2026-03-21</t>
        </is>
      </c>
      <c r="B26" s="0" t="n">
        <v>25</v>
      </c>
      <c r="C26" s="0" t="inlineStr">
        <is>
          <t>Deewaana Deewaana</t>
        </is>
      </c>
      <c r="D26" s="0" t="inlineStr">
        <is>
          <t>A.R. Rahman, Irshad Kamil</t>
        </is>
      </c>
    </row>
    <row r="27">
      <c r="A27" s="0" t="inlineStr">
        <is>
          <t>2026-03-21</t>
        </is>
      </c>
      <c r="B27" s="0" t="n">
        <v>26</v>
      </c>
      <c r="C27" s="0" t="inlineStr">
        <is>
          <t>Tere Liye</t>
        </is>
      </c>
      <c r="D27" s="0" t="inlineStr">
        <is>
          <t>Atif Aslam, Shreya Ghoshal, Sachin Gupta, Sameer Anjaan</t>
        </is>
      </c>
    </row>
    <row r="28">
      <c r="A28" s="0" t="inlineStr">
        <is>
          <t>2026-03-21</t>
        </is>
      </c>
      <c r="B28" s="0" t="n">
        <v>27</v>
      </c>
      <c r="C28" s="0" t="inlineStr">
        <is>
          <t>Lutt Le Gaya</t>
        </is>
      </c>
      <c r="D28" s="0" t="inlineStr">
        <is>
          <t>Shashwat Sachdev, Simran Choudhary</t>
        </is>
      </c>
    </row>
    <row r="29">
      <c r="A29" s="0" t="inlineStr">
        <is>
          <t>2026-03-21</t>
        </is>
      </c>
      <c r="B29" s="0" t="n">
        <v>28</v>
      </c>
      <c r="C29" s="0" t="inlineStr">
        <is>
          <t>Jaiye Sajana</t>
        </is>
      </c>
      <c r="D29" s="0" t="inlineStr">
        <is>
          <t>Shashwat Sachdev, Jasmine Sandlas, Satinder Sartaaj</t>
        </is>
      </c>
    </row>
    <row r="30">
      <c r="A30" s="0" t="inlineStr">
        <is>
          <t>2026-03-21</t>
        </is>
      </c>
      <c r="B30" s="0" t="n">
        <v>29</v>
      </c>
      <c r="C30" s="0" t="inlineStr">
        <is>
          <t>Naal Nachna</t>
        </is>
      </c>
      <c r="D30" s="0" t="inlineStr">
        <is>
          <t>Shashwat Sachdev, Afsana Khan, Irshad Kamil, Reble</t>
        </is>
      </c>
    </row>
    <row r="31">
      <c r="A31" s="0" t="inlineStr">
        <is>
          <t>2026-03-21</t>
        </is>
      </c>
      <c r="B31" s="0" t="n">
        <v>30</v>
      </c>
      <c r="C31" s="0" t="inlineStr">
        <is>
          <t>Ishq Jalakar - Karvaan</t>
        </is>
      </c>
      <c r="D31" s="0" t="inlineStr">
        <is>
          <t>Shashwat Sachdev, Shahzad Ali, Subhadeep Das Chowdhury, Armaan Khan, Irshad Kamil, Roshan, Sahir Ludhianvi</t>
        </is>
      </c>
    </row>
    <row r="32">
      <c r="A32" s="0" t="inlineStr">
        <is>
          <t>2026-03-21</t>
        </is>
      </c>
      <c r="B32" s="0" t="n">
        <v>31</v>
      </c>
      <c r="C32" s="0" t="inlineStr">
        <is>
          <t>Agar Tum Saath Ho (From "Tamasha")</t>
        </is>
      </c>
      <c r="D32" s="0" t="inlineStr">
        <is>
          <t>Alka Yagnik, Arijit Singh</t>
        </is>
      </c>
    </row>
    <row r="33">
      <c r="A33" s="0" t="inlineStr">
        <is>
          <t>2026-03-21</t>
        </is>
      </c>
      <c r="B33" s="0" t="n">
        <v>32</v>
      </c>
      <c r="C33" s="0" t="inlineStr">
        <is>
          <t>Tere Bina</t>
        </is>
      </c>
      <c r="D33" s="0" t="inlineStr">
        <is>
          <t>A.R. Rahman, Chinmayi, Murtuza Khan, Qadir Khan</t>
        </is>
      </c>
    </row>
    <row r="34">
      <c r="A34" s="0" t="inlineStr">
        <is>
          <t>2026-03-21</t>
        </is>
      </c>
      <c r="B34" s="0" t="n">
        <v>33</v>
      </c>
      <c r="C34" s="0" t="inlineStr">
        <is>
          <t>Mutta Kalakki (From "Youth")</t>
        </is>
      </c>
      <c r="D34" s="0" t="inlineStr">
        <is>
          <t>G. V. Prakash, Ken Karunaas</t>
        </is>
      </c>
    </row>
    <row r="35">
      <c r="A35" s="0" t="inlineStr">
        <is>
          <t>2026-03-21</t>
        </is>
      </c>
      <c r="B35" s="0" t="n">
        <v>34</v>
      </c>
      <c r="C35" s="0" t="inlineStr">
        <is>
          <t>Jo Tum Mere Ho</t>
        </is>
      </c>
      <c r="D35" s="0" t="inlineStr">
        <is>
          <t>Anuv Jain</t>
        </is>
      </c>
    </row>
    <row r="36">
      <c r="A36" s="0" t="inlineStr">
        <is>
          <t>2026-03-21</t>
        </is>
      </c>
      <c r="B36" s="0" t="n">
        <v>35</v>
      </c>
      <c r="C36" s="0" t="inlineStr">
        <is>
          <t>Haseen</t>
        </is>
      </c>
      <c r="D36" s="0" t="inlineStr">
        <is>
          <t>Talwiinder, NDS, Rippy Grewal</t>
        </is>
      </c>
    </row>
    <row r="37">
      <c r="A37" s="0" t="inlineStr">
        <is>
          <t>2026-03-21</t>
        </is>
      </c>
      <c r="B37" s="0" t="n">
        <v>36</v>
      </c>
      <c r="C37" s="0" t="inlineStr">
        <is>
          <t>Aaya Sher (From "The Paradise") (Telugu)</t>
        </is>
      </c>
      <c r="D37" s="0" t="inlineStr">
        <is>
          <t>Anirudh Ravichander, Jangi Reddy, Arjun Chandy, Kasarla Shyam</t>
        </is>
      </c>
    </row>
    <row r="38">
      <c r="A38" s="0" t="inlineStr">
        <is>
          <t>2026-03-21</t>
        </is>
      </c>
      <c r="B38" s="0" t="n">
        <v>37</v>
      </c>
      <c r="C38" s="0" t="inlineStr">
        <is>
          <t>Jaan Se Guzarte Hain</t>
        </is>
      </c>
      <c r="D38" s="0" t="inlineStr">
        <is>
          <t>Shashwat Sachdev, Khan Saab</t>
        </is>
      </c>
    </row>
    <row r="39">
      <c r="A39" s="0" t="inlineStr">
        <is>
          <t>2026-03-21</t>
        </is>
      </c>
      <c r="B39" s="0" t="n">
        <v>38</v>
      </c>
      <c r="C39" s="0" t="inlineStr">
        <is>
          <t>Tum Ho Toh (From "Saiyaara")</t>
        </is>
      </c>
      <c r="D39" s="0" t="inlineStr">
        <is>
          <t>Vishal Mishra, Hansika Pareek, Raj Shekhar</t>
        </is>
      </c>
    </row>
    <row r="40">
      <c r="A40" s="0" t="inlineStr">
        <is>
          <t>2026-03-21</t>
        </is>
      </c>
      <c r="B40" s="0" t="n">
        <v>39</v>
      </c>
      <c r="C40" s="0" t="inlineStr">
        <is>
          <t>Darkhaast</t>
        </is>
      </c>
      <c r="D40" s="0" t="inlineStr">
        <is>
          <t>Mithoon, Arijit Singh, Sunidhi Chauhan, Sayeed Quadri</t>
        </is>
      </c>
    </row>
    <row r="41">
      <c r="A41" s="0" t="inlineStr">
        <is>
          <t>2026-03-21</t>
        </is>
      </c>
      <c r="B41" s="0" t="n">
        <v>40</v>
      </c>
      <c r="C41" s="0" t="inlineStr">
        <is>
          <t>KALYANI</t>
        </is>
      </c>
      <c r="D41" s="0" t="inlineStr">
        <is>
          <t>ARJN, KDS, FIFTY4, RONN</t>
        </is>
      </c>
    </row>
    <row r="42">
      <c r="A42" s="0" t="inlineStr">
        <is>
          <t>2026-03-21</t>
        </is>
      </c>
      <c r="B42" s="0" t="n">
        <v>41</v>
      </c>
      <c r="C42" s="0" t="inlineStr">
        <is>
          <t>Body to Body</t>
        </is>
      </c>
      <c r="D42" s="0" t="inlineStr">
        <is>
          <t>BTS</t>
        </is>
      </c>
    </row>
    <row r="43">
      <c r="A43" s="0" t="inlineStr">
        <is>
          <t>2026-03-21</t>
        </is>
      </c>
      <c r="B43" s="0" t="n">
        <v>42</v>
      </c>
      <c r="C43" s="0" t="inlineStr">
        <is>
          <t>Jogi</t>
        </is>
      </c>
      <c r="D43" s="0" t="inlineStr">
        <is>
          <t>thiarajxtt, Bir</t>
        </is>
      </c>
    </row>
    <row r="44">
      <c r="A44" s="0" t="inlineStr">
        <is>
          <t>2026-03-21</t>
        </is>
      </c>
      <c r="B44" s="0" t="n">
        <v>43</v>
      </c>
      <c r="C44" s="0" t="inlineStr">
        <is>
          <t>Barbaad (From "Saiyaara")</t>
        </is>
      </c>
      <c r="D44" s="0" t="inlineStr">
        <is>
          <t>The Rish, Jubin Nautiyal</t>
        </is>
      </c>
    </row>
    <row r="45">
      <c r="A45" s="0" t="inlineStr">
        <is>
          <t>2026-03-21</t>
        </is>
      </c>
      <c r="B45" s="0" t="n">
        <v>44</v>
      </c>
      <c r="C45" s="0" t="inlineStr">
        <is>
          <t>Not Guilty</t>
        </is>
      </c>
      <c r="D45" s="0" t="inlineStr">
        <is>
          <t>Dhanda Nyoliwala</t>
        </is>
      </c>
    </row>
    <row r="46">
      <c r="A46" s="0" t="inlineStr">
        <is>
          <t>2026-03-21</t>
        </is>
      </c>
      <c r="B46" s="0" t="n">
        <v>45</v>
      </c>
      <c r="C46" s="0" t="inlineStr">
        <is>
          <t>Ye Tune Kya Kiya</t>
        </is>
      </c>
      <c r="D46" s="0" t="inlineStr">
        <is>
          <t>Pritam, Javed Bashir, Rajat Arora</t>
        </is>
      </c>
    </row>
    <row r="47">
      <c r="A47" s="0" t="inlineStr">
        <is>
          <t>2026-03-21</t>
        </is>
      </c>
      <c r="B47" s="0" t="n">
        <v>46</v>
      </c>
      <c r="C47" s="0" t="inlineStr">
        <is>
          <t>Oorum Blood</t>
        </is>
      </c>
      <c r="D47" s="0" t="inlineStr">
        <is>
          <t>Sai Abhyankkar, Paal Dabba, Bhumi, Deepthi Suresh</t>
        </is>
      </c>
    </row>
    <row r="48">
      <c r="A48" s="0" t="inlineStr">
        <is>
          <t>2026-03-21</t>
        </is>
      </c>
      <c r="B48" s="0" t="n">
        <v>47</v>
      </c>
      <c r="C48" s="0" t="inlineStr">
        <is>
          <t>Mast Magan (From "2 States)</t>
        </is>
      </c>
      <c r="D48" s="0" t="inlineStr">
        <is>
          <t>Arijit Singh, Chinmayi</t>
        </is>
      </c>
    </row>
    <row r="49">
      <c r="A49" s="0" t="inlineStr">
        <is>
          <t>2026-03-21</t>
        </is>
      </c>
      <c r="B49" s="0" t="n">
        <v>48</v>
      </c>
      <c r="C49" s="0" t="inlineStr">
        <is>
          <t>Zaalima</t>
        </is>
      </c>
      <c r="D49" s="0" t="inlineStr">
        <is>
          <t>Arijit Singh, Harshdeep Kaur</t>
        </is>
      </c>
    </row>
    <row r="50">
      <c r="A50" s="0" t="inlineStr">
        <is>
          <t>2026-03-21</t>
        </is>
      </c>
      <c r="B50" s="0" t="n">
        <v>49</v>
      </c>
      <c r="C50" s="0" t="inlineStr">
        <is>
          <t>Ehsaas</t>
        </is>
      </c>
      <c r="D50" s="0" t="inlineStr">
        <is>
          <t>Faheem Abdullah, Duha Shah, Vaibhav Pani, Hyder Dar</t>
        </is>
      </c>
    </row>
    <row r="51">
      <c r="A51" s="0" t="inlineStr">
        <is>
          <t>2026-03-21</t>
        </is>
      </c>
      <c r="B51" s="0" t="n">
        <v>50</v>
      </c>
      <c r="C51" s="0" t="inlineStr">
        <is>
          <t>Teri Deewani</t>
        </is>
      </c>
      <c r="D51" s="0" t="inlineStr">
        <is>
          <t>Kailash Kher, Paresh Kamath, Naresh Kamath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Date</t>
        </is>
      </c>
      <c r="B1" s="24" t="inlineStr">
        <is>
          <t>Rank</t>
        </is>
      </c>
      <c r="C1" s="24" t="inlineStr">
        <is>
          <t>Song</t>
        </is>
      </c>
      <c r="D1" s="24" t="inlineStr">
        <is>
          <t>Artist</t>
        </is>
      </c>
    </row>
    <row r="2">
      <c r="A2" s="0" t="inlineStr">
        <is>
          <t>2026-03-23</t>
        </is>
      </c>
      <c r="B2" s="0" t="n">
        <v>1</v>
      </c>
      <c r="C2" s="0" t="inlineStr">
        <is>
          <t>Bairan</t>
        </is>
      </c>
      <c r="D2" s="0" t="inlineStr">
        <is>
          <t>Banjaare</t>
        </is>
      </c>
    </row>
    <row r="3">
      <c r="A3" s="0" t="inlineStr">
        <is>
          <t>2026-03-23</t>
        </is>
      </c>
      <c r="B3" s="0" t="n">
        <v>2</v>
      </c>
      <c r="C3" s="0" t="inlineStr">
        <is>
          <t>Sheesha - Aakhya Mai Aakh Ghali Jo Bairan</t>
        </is>
      </c>
      <c r="D3" s="0" t="inlineStr">
        <is>
          <t>Mitta Ror, Swara Verma</t>
        </is>
      </c>
    </row>
    <row r="4">
      <c r="A4" s="0" t="inlineStr">
        <is>
          <t>2026-03-23</t>
        </is>
      </c>
      <c r="B4" s="0" t="n">
        <v>3</v>
      </c>
      <c r="C4" s="0" t="inlineStr">
        <is>
          <t>Dhurandhar The Revenge - Aari Aari (From "Dhurandhar The Revenge")</t>
        </is>
      </c>
      <c r="D4" s="0" t="inlineStr">
        <is>
          <t>Shashwat Sachdev, Bombay Rockers, Irshad Kamil, Khan Saab, Reble, Token, Jasmine Sandlas, Sudhir Yaduvanshi</t>
        </is>
      </c>
    </row>
    <row r="5">
      <c r="A5" s="0" t="inlineStr">
        <is>
          <t>2026-03-23</t>
        </is>
      </c>
      <c r="B5" s="0" t="n">
        <v>4</v>
      </c>
      <c r="C5" s="0" t="inlineStr">
        <is>
          <t>Gehra Hua</t>
        </is>
      </c>
      <c r="D5" s="0" t="inlineStr">
        <is>
          <t>Shashwat Sachdev, Arijit Singh, Irshad Kamil, Armaan Khan</t>
        </is>
      </c>
    </row>
    <row r="6">
      <c r="A6" s="0" t="inlineStr">
        <is>
          <t>2026-03-23</t>
        </is>
      </c>
      <c r="B6" s="0" t="n">
        <v>5</v>
      </c>
      <c r="C6" s="0" t="inlineStr">
        <is>
          <t>Jaiye Sajana</t>
        </is>
      </c>
      <c r="D6" s="0" t="inlineStr">
        <is>
          <t>Shashwat Sachdev, Jasmine Sandlas, Satinder Sartaaj</t>
        </is>
      </c>
    </row>
    <row r="7">
      <c r="A7" s="0" t="inlineStr">
        <is>
          <t>2026-03-23</t>
        </is>
      </c>
      <c r="B7" s="0" t="n">
        <v>6</v>
      </c>
      <c r="C7" s="0" t="inlineStr">
        <is>
          <t>Khat</t>
        </is>
      </c>
      <c r="D7" s="0" t="inlineStr">
        <is>
          <t>Navjot Ahuja</t>
        </is>
      </c>
    </row>
    <row r="8">
      <c r="A8" s="0" t="inlineStr">
        <is>
          <t>2026-03-23</t>
        </is>
      </c>
      <c r="B8" s="0" t="n">
        <v>7</v>
      </c>
      <c r="C8" s="0" t="inlineStr">
        <is>
          <t>Dooron Dooron</t>
        </is>
      </c>
      <c r="D8" s="0" t="inlineStr">
        <is>
          <t>Paresh Pahuja, Shiv Tandan, Meghdeep Bose</t>
        </is>
      </c>
    </row>
    <row r="9">
      <c r="A9" s="0" t="inlineStr">
        <is>
          <t>2026-03-23</t>
        </is>
      </c>
      <c r="B9" s="0" t="n">
        <v>8</v>
      </c>
      <c r="C9" s="0" t="inlineStr">
        <is>
          <t>Sahiba</t>
        </is>
      </c>
      <c r="D9" s="0" t="inlineStr">
        <is>
          <t>Aditya Rikhari</t>
        </is>
      </c>
    </row>
    <row r="10">
      <c r="A10" s="0" t="inlineStr">
        <is>
          <t>2026-03-23</t>
        </is>
      </c>
      <c r="B10" s="0" t="n">
        <v>9</v>
      </c>
      <c r="C10" s="0" t="inlineStr">
        <is>
          <t>Sitaare (From "Ikkis")</t>
        </is>
      </c>
      <c r="D10" s="0" t="inlineStr">
        <is>
          <t>Arijit Singh, White Noise Collectives, Amitabh Bhattacharya</t>
        </is>
      </c>
    </row>
    <row r="11">
      <c r="A11" s="0" t="inlineStr">
        <is>
          <t>2026-03-23</t>
        </is>
      </c>
      <c r="B11" s="0" t="n">
        <v>10</v>
      </c>
      <c r="C11" s="0" t="inlineStr">
        <is>
          <t>Jaan Se Guzarte Hain</t>
        </is>
      </c>
      <c r="D11" s="0" t="inlineStr">
        <is>
          <t>Shashwat Sachdev, Khan Saab</t>
        </is>
      </c>
    </row>
    <row r="12">
      <c r="A12" s="0" t="inlineStr">
        <is>
          <t>2026-03-23</t>
        </is>
      </c>
      <c r="B12" s="0" t="n">
        <v>11</v>
      </c>
      <c r="C12" s="0" t="inlineStr">
        <is>
          <t>Finding Her</t>
        </is>
      </c>
      <c r="D12" s="0" t="inlineStr">
        <is>
          <t>Kushagra, Bharath, Saaheal</t>
        </is>
      </c>
    </row>
    <row r="13">
      <c r="A13" s="0" t="inlineStr">
        <is>
          <t>2026-03-23</t>
        </is>
      </c>
      <c r="B13" s="0" t="n">
        <v>12</v>
      </c>
      <c r="C13" s="0" t="inlineStr">
        <is>
          <t>Samjhawan</t>
        </is>
      </c>
      <c r="D13" s="0" t="inlineStr">
        <is>
          <t>Jawad Ahmad, Shaarib Toshi, Arijit Singh, Shreya Ghoshal</t>
        </is>
      </c>
    </row>
    <row r="14">
      <c r="A14" s="0" t="inlineStr">
        <is>
          <t>2026-03-23</t>
        </is>
      </c>
      <c r="B14" s="0" t="n">
        <v>13</v>
      </c>
      <c r="C14" s="0" t="inlineStr">
        <is>
          <t>Apna Bana Le</t>
        </is>
      </c>
      <c r="D14" s="0" t="inlineStr">
        <is>
          <t>Sachin-Jigar, Arijit Singh, Amitabh Bhattacharya</t>
        </is>
      </c>
    </row>
    <row r="15">
      <c r="A15" s="0" t="inlineStr">
        <is>
          <t>2026-03-23</t>
        </is>
      </c>
      <c r="B15" s="0" t="n">
        <v>14</v>
      </c>
      <c r="C15" s="0" t="inlineStr">
        <is>
          <t>Dhurandhar - Title Track</t>
        </is>
      </c>
      <c r="D15" s="0" t="inlineStr">
        <is>
          <t>Shashwat Sachdev, Hanumankind, Jasmine Sandlas, Sudhir Yaduvanshi, Charanjit Ahuja, Muhammad Sadiq, Ranjit Kaur, Babu Singh Maan</t>
        </is>
      </c>
    </row>
    <row r="16">
      <c r="A16" s="0" t="inlineStr">
        <is>
          <t>2026-03-23</t>
        </is>
      </c>
      <c r="B16" s="0" t="n">
        <v>15</v>
      </c>
      <c r="C16" s="0" t="inlineStr">
        <is>
          <t>Shararat</t>
        </is>
      </c>
      <c r="D16" s="0" t="inlineStr">
        <is>
          <t>Shashwat Sachdev, Madhubanti Bagchi, Jasmine Sandlas</t>
        </is>
      </c>
    </row>
    <row r="17">
      <c r="A17" s="0" t="inlineStr">
        <is>
          <t>2026-03-23</t>
        </is>
      </c>
      <c r="B17" s="0" t="n">
        <v>16</v>
      </c>
      <c r="C17" s="0" t="inlineStr">
        <is>
          <t>Arz Kiya Hai | Coke Studio Bharat</t>
        </is>
      </c>
      <c r="D17" s="0" t="inlineStr">
        <is>
          <t>Anuv Jain</t>
        </is>
      </c>
    </row>
    <row r="18">
      <c r="A18" s="0" t="inlineStr">
        <is>
          <t>2026-03-23</t>
        </is>
      </c>
      <c r="B18" s="0" t="n">
        <v>17</v>
      </c>
      <c r="C18" s="0" t="inlineStr">
        <is>
          <t>For A Reason</t>
        </is>
      </c>
      <c r="D18" s="0" t="inlineStr">
        <is>
          <t>Karan Aujla, Ikky</t>
        </is>
      </c>
    </row>
    <row r="19">
      <c r="A19" s="0" t="inlineStr">
        <is>
          <t>2026-03-23</t>
        </is>
      </c>
      <c r="B19" s="0" t="n">
        <v>18</v>
      </c>
      <c r="C19" s="0" t="inlineStr">
        <is>
          <t>Boyfriend</t>
        </is>
      </c>
      <c r="D19" s="0" t="inlineStr">
        <is>
          <t>Karan Aujla, Ikky</t>
        </is>
      </c>
    </row>
    <row r="20">
      <c r="A20" s="0" t="inlineStr">
        <is>
          <t>2026-03-23</t>
        </is>
      </c>
      <c r="B20" s="0" t="n">
        <v>19</v>
      </c>
      <c r="C20" s="0" t="inlineStr">
        <is>
          <t>Pavazha Malli - From "Think Indie"</t>
        </is>
      </c>
      <c r="D20" s="0" t="inlineStr">
        <is>
          <t>Sai Abhyankkar, Shruti Haasan, Vivek</t>
        </is>
      </c>
    </row>
    <row r="21">
      <c r="A21" s="0" t="inlineStr">
        <is>
          <t>2026-03-23</t>
        </is>
      </c>
      <c r="B21" s="0" t="n">
        <v>20</v>
      </c>
      <c r="C21" s="0" t="inlineStr">
        <is>
          <t>Ishq</t>
        </is>
      </c>
      <c r="D21" s="0" t="inlineStr">
        <is>
          <t>Faheem Abdullah, Rauhan Malik, Amir Ameer</t>
        </is>
      </c>
    </row>
    <row r="22">
      <c r="A22" s="0" t="inlineStr">
        <is>
          <t>2026-03-23</t>
        </is>
      </c>
      <c r="B22" s="0" t="n">
        <v>21</v>
      </c>
      <c r="C22" s="0" t="inlineStr">
        <is>
          <t>Bairi</t>
        </is>
      </c>
      <c r="D22" s="0" t="inlineStr">
        <is>
          <t>Virat, Pradeep Solanki, Heena</t>
        </is>
      </c>
    </row>
    <row r="23">
      <c r="A23" s="0" t="inlineStr">
        <is>
          <t>2026-03-23</t>
        </is>
      </c>
      <c r="B23" s="0" t="n">
        <v>22</v>
      </c>
      <c r="C23" s="0" t="inlineStr">
        <is>
          <t>Saiyaara</t>
        </is>
      </c>
      <c r="D23" s="0" t="inlineStr">
        <is>
          <t>Tanishk Bagchi, Faheem Abdullah, Arslan Nizami, Irshad Kamil</t>
        </is>
      </c>
    </row>
    <row r="24">
      <c r="A24" s="0" t="inlineStr">
        <is>
          <t>2026-03-23</t>
        </is>
      </c>
      <c r="B24" s="0" t="n">
        <v>23</v>
      </c>
      <c r="C24" s="0" t="inlineStr">
        <is>
          <t>Ishqa Ve</t>
        </is>
      </c>
      <c r="D24" s="0" t="inlineStr">
        <is>
          <t>Zeeshan Ali, Yuvraj Tung, Sandeep Aulakh, Honey Dhillon</t>
        </is>
      </c>
    </row>
    <row r="25">
      <c r="A25" s="0" t="inlineStr">
        <is>
          <t>2026-03-23</t>
        </is>
      </c>
      <c r="B25" s="0" t="n">
        <v>24</v>
      </c>
      <c r="C25" s="0" t="inlineStr">
        <is>
          <t>Mann Mera</t>
        </is>
      </c>
      <c r="D25" s="0" t="inlineStr">
        <is>
          <t>Gajendra Verma</t>
        </is>
      </c>
    </row>
    <row r="26">
      <c r="A26" s="0" t="inlineStr">
        <is>
          <t>2026-03-23</t>
        </is>
      </c>
      <c r="B26" s="0" t="n">
        <v>25</v>
      </c>
      <c r="C26" s="0" t="inlineStr">
        <is>
          <t>SWIM</t>
        </is>
      </c>
      <c r="D26" s="0" t="inlineStr">
        <is>
          <t>BTS</t>
        </is>
      </c>
    </row>
    <row r="27">
      <c r="A27" s="0" t="inlineStr">
        <is>
          <t>2026-03-23</t>
        </is>
      </c>
      <c r="B27" s="0" t="n">
        <v>26</v>
      </c>
      <c r="C27" s="0" t="inlineStr">
        <is>
          <t>Raanjhan (From "Do Patti")</t>
        </is>
      </c>
      <c r="D27" s="0" t="inlineStr">
        <is>
          <t>Sachet-Parampara, Parampara Tandon, Kausar Munir</t>
        </is>
      </c>
    </row>
    <row r="28">
      <c r="A28" s="0" t="inlineStr">
        <is>
          <t>2026-03-23</t>
        </is>
      </c>
      <c r="B28" s="0" t="n">
        <v>27</v>
      </c>
      <c r="C28" s="0" t="inlineStr">
        <is>
          <t>Naal Nachna</t>
        </is>
      </c>
      <c r="D28" s="0" t="inlineStr">
        <is>
          <t>Shashwat Sachdev, Afsana Khan, Irshad Kamil, Reble</t>
        </is>
      </c>
    </row>
    <row r="29">
      <c r="A29" s="0" t="inlineStr">
        <is>
          <t>2026-03-23</t>
        </is>
      </c>
      <c r="B29" s="0" t="n">
        <v>28</v>
      </c>
      <c r="C29" s="0" t="inlineStr">
        <is>
          <t>Tum Ho Toh (From "Saiyaara")</t>
        </is>
      </c>
      <c r="D29" s="0" t="inlineStr">
        <is>
          <t>Vishal Mishra, Hansika Pareek, Raj Shekhar</t>
        </is>
      </c>
    </row>
    <row r="30">
      <c r="A30" s="0" t="inlineStr">
        <is>
          <t>2026-03-23</t>
        </is>
      </c>
      <c r="B30" s="0" t="n">
        <v>29</v>
      </c>
      <c r="C30" s="0" t="inlineStr">
        <is>
          <t>Deewaana Deewaana</t>
        </is>
      </c>
      <c r="D30" s="0" t="inlineStr">
        <is>
          <t>A.R. Rahman, Irshad Kamil</t>
        </is>
      </c>
    </row>
    <row r="31">
      <c r="A31" s="0" t="inlineStr">
        <is>
          <t>2026-03-23</t>
        </is>
      </c>
      <c r="B31" s="0" t="n">
        <v>30</v>
      </c>
      <c r="C31" s="0" t="inlineStr">
        <is>
          <t>Tere Liye</t>
        </is>
      </c>
      <c r="D31" s="0" t="inlineStr">
        <is>
          <t>Atif Aslam, Shreya Ghoshal, Sachin Gupta, Sameer Anjaan</t>
        </is>
      </c>
    </row>
    <row r="32">
      <c r="A32" s="0" t="inlineStr">
        <is>
          <t>2026-03-23</t>
        </is>
      </c>
      <c r="B32" s="0" t="n">
        <v>31</v>
      </c>
      <c r="C32" s="0" t="inlineStr">
        <is>
          <t>Lutt Le Gaya</t>
        </is>
      </c>
      <c r="D32" s="0" t="inlineStr">
        <is>
          <t>Shashwat Sachdev, Simran Choudhary</t>
        </is>
      </c>
    </row>
    <row r="33">
      <c r="A33" s="0" t="inlineStr">
        <is>
          <t>2026-03-23</t>
        </is>
      </c>
      <c r="B33" s="0" t="n">
        <v>32</v>
      </c>
      <c r="C33" s="0" t="inlineStr">
        <is>
          <t>Aaya Sher (From "The Paradise") (Telugu)</t>
        </is>
      </c>
      <c r="D33" s="0" t="inlineStr">
        <is>
          <t>Anirudh Ravichander, Jangi Reddy, Arjun Chandy, Kasarla Shyam</t>
        </is>
      </c>
    </row>
    <row r="34">
      <c r="A34" s="0" t="inlineStr">
        <is>
          <t>2026-03-23</t>
        </is>
      </c>
      <c r="B34" s="0" t="n">
        <v>33</v>
      </c>
      <c r="C34" s="0" t="inlineStr">
        <is>
          <t>Ishq Jalakar - Karvaan</t>
        </is>
      </c>
      <c r="D34" s="0" t="inlineStr">
        <is>
          <t>Shashwat Sachdev, Shahzad Ali, Subhadeep Das Chowdhury, Armaan Khan, Irshad Kamil, Roshan, Sahir Ludhianvi</t>
        </is>
      </c>
    </row>
    <row r="35">
      <c r="A35" s="0" t="inlineStr">
        <is>
          <t>2026-03-23</t>
        </is>
      </c>
      <c r="B35" s="0" t="n">
        <v>34</v>
      </c>
      <c r="C35" s="0" t="inlineStr">
        <is>
          <t>Agar Tum Saath Ho (From "Tamasha")</t>
        </is>
      </c>
      <c r="D35" s="0" t="inlineStr">
        <is>
          <t>Alka Yagnik, Arijit Singh</t>
        </is>
      </c>
    </row>
    <row r="36">
      <c r="A36" s="0" t="inlineStr">
        <is>
          <t>2026-03-23</t>
        </is>
      </c>
      <c r="B36" s="0" t="n">
        <v>35</v>
      </c>
      <c r="C36" s="0" t="inlineStr">
        <is>
          <t>Tere Bina</t>
        </is>
      </c>
      <c r="D36" s="0" t="inlineStr">
        <is>
          <t>A.R. Rahman, Chinmayi, Murtuza Khan, Qadir Khan</t>
        </is>
      </c>
    </row>
    <row r="37">
      <c r="A37" s="0" t="inlineStr">
        <is>
          <t>2026-03-23</t>
        </is>
      </c>
      <c r="B37" s="0" t="n">
        <v>36</v>
      </c>
      <c r="C37" s="0" t="inlineStr">
        <is>
          <t>Haseen</t>
        </is>
      </c>
      <c r="D37" s="0" t="inlineStr">
        <is>
          <t>Talwiinder, NDS, Rippy Grewal</t>
        </is>
      </c>
    </row>
    <row r="38">
      <c r="A38" s="0" t="inlineStr">
        <is>
          <t>2026-03-23</t>
        </is>
      </c>
      <c r="B38" s="0" t="n">
        <v>37</v>
      </c>
      <c r="C38" s="0" t="inlineStr">
        <is>
          <t>Jo Tum Mere Ho</t>
        </is>
      </c>
      <c r="D38" s="0" t="inlineStr">
        <is>
          <t>Anuv Jain</t>
        </is>
      </c>
    </row>
    <row r="39">
      <c r="A39" s="0" t="inlineStr">
        <is>
          <t>2026-03-23</t>
        </is>
      </c>
      <c r="B39" s="0" t="n">
        <v>38</v>
      </c>
      <c r="C39" s="0" t="inlineStr">
        <is>
          <t>Darkhaast</t>
        </is>
      </c>
      <c r="D39" s="0" t="inlineStr">
        <is>
          <t>Mithoon, Arijit Singh, Sunidhi Chauhan, Sayeed Quadri</t>
        </is>
      </c>
    </row>
    <row r="40">
      <c r="A40" s="0" t="inlineStr">
        <is>
          <t>2026-03-23</t>
        </is>
      </c>
      <c r="B40" s="0" t="n">
        <v>39</v>
      </c>
      <c r="C40" s="0" t="inlineStr">
        <is>
          <t>Main Aur Tu (From "Dhurandhar The Revenge")</t>
        </is>
      </c>
      <c r="D40" s="0" t="inlineStr">
        <is>
          <t>Shashwat Sachdev, Jasmine Sandlas, Reble</t>
        </is>
      </c>
    </row>
    <row r="41">
      <c r="A41" s="0" t="inlineStr">
        <is>
          <t>2026-03-23</t>
        </is>
      </c>
      <c r="B41" s="0" t="n">
        <v>40</v>
      </c>
      <c r="C41" s="0" t="inlineStr">
        <is>
          <t>Ye Tune Kya Kiya</t>
        </is>
      </c>
      <c r="D41" s="0" t="inlineStr">
        <is>
          <t>Pritam, Javed Bashir, Rajat Arora</t>
        </is>
      </c>
    </row>
    <row r="42">
      <c r="A42" s="0" t="inlineStr">
        <is>
          <t>2026-03-23</t>
        </is>
      </c>
      <c r="B42" s="0" t="n">
        <v>41</v>
      </c>
      <c r="C42" s="0" t="inlineStr">
        <is>
          <t>Barbaad (From "Saiyaara")</t>
        </is>
      </c>
      <c r="D42" s="0" t="inlineStr">
        <is>
          <t>The Rish, Jubin Nautiyal</t>
        </is>
      </c>
    </row>
    <row r="43">
      <c r="A43" s="0" t="inlineStr">
        <is>
          <t>2026-03-23</t>
        </is>
      </c>
      <c r="B43" s="0" t="n">
        <v>42</v>
      </c>
      <c r="C43" s="0" t="inlineStr">
        <is>
          <t>Mutta Kalakki (From "Youth")</t>
        </is>
      </c>
      <c r="D43" s="0" t="inlineStr">
        <is>
          <t>G. V. Prakash, Ken Karunaas</t>
        </is>
      </c>
    </row>
    <row r="44">
      <c r="A44" s="0" t="inlineStr">
        <is>
          <t>2026-03-23</t>
        </is>
      </c>
      <c r="B44" s="0" t="n">
        <v>43</v>
      </c>
      <c r="C44" s="0" t="inlineStr">
        <is>
          <t>Not Guilty</t>
        </is>
      </c>
      <c r="D44" s="0" t="inlineStr">
        <is>
          <t>Dhanda Nyoliwala</t>
        </is>
      </c>
    </row>
    <row r="45">
      <c r="A45" s="0" t="inlineStr">
        <is>
          <t>2026-03-23</t>
        </is>
      </c>
      <c r="B45" s="0" t="n">
        <v>44</v>
      </c>
      <c r="C45" s="0" t="inlineStr">
        <is>
          <t>Run Down The City - Monica</t>
        </is>
      </c>
      <c r="D45" s="0" t="inlineStr">
        <is>
          <t>Shashwat Sachdev, Reble, Asha Bhosle, R. D. Burman, Majrooh Sultanpuri</t>
        </is>
      </c>
    </row>
    <row r="46">
      <c r="A46" s="0" t="inlineStr">
        <is>
          <t>2026-03-23</t>
        </is>
      </c>
      <c r="B46" s="0" t="n">
        <v>45</v>
      </c>
      <c r="C46" s="0" t="inlineStr">
        <is>
          <t>Ehsaas</t>
        </is>
      </c>
      <c r="D46" s="0" t="inlineStr">
        <is>
          <t>Faheem Abdullah, Duha Shah, Vaibhav Pani, Hyder Dar</t>
        </is>
      </c>
    </row>
    <row r="47">
      <c r="A47" s="0" t="inlineStr">
        <is>
          <t>2026-03-23</t>
        </is>
      </c>
      <c r="B47" s="0" t="n">
        <v>46</v>
      </c>
      <c r="C47" s="0" t="inlineStr">
        <is>
          <t>Mast Magan (From "2 States)</t>
        </is>
      </c>
      <c r="D47" s="0" t="inlineStr">
        <is>
          <t>Arijit Singh, Chinmayi</t>
        </is>
      </c>
    </row>
    <row r="48">
      <c r="A48" s="0" t="inlineStr">
        <is>
          <t>2026-03-23</t>
        </is>
      </c>
      <c r="B48" s="0" t="n">
        <v>47</v>
      </c>
      <c r="C48" s="0" t="inlineStr">
        <is>
          <t>Teri Deewani</t>
        </is>
      </c>
      <c r="D48" s="0" t="inlineStr">
        <is>
          <t>Kailash Kher, Paresh Kamath, Naresh Kamath</t>
        </is>
      </c>
    </row>
    <row r="49">
      <c r="A49" s="0" t="inlineStr">
        <is>
          <t>2026-03-23</t>
        </is>
      </c>
      <c r="B49" s="0" t="n">
        <v>48</v>
      </c>
      <c r="C49" s="0" t="inlineStr">
        <is>
          <t>Dealer</t>
        </is>
      </c>
      <c r="D49" s="0" t="inlineStr">
        <is>
          <t>Diljit Dosanjh, Da Future, Virk Andaaz</t>
        </is>
      </c>
    </row>
    <row r="50">
      <c r="A50" s="0" t="inlineStr">
        <is>
          <t>2026-03-23</t>
        </is>
      </c>
      <c r="B50" s="0" t="n">
        <v>49</v>
      </c>
      <c r="C50" s="0" t="inlineStr">
        <is>
          <t>Body to Body</t>
        </is>
      </c>
      <c r="D50" s="0" t="inlineStr">
        <is>
          <t>BTS</t>
        </is>
      </c>
    </row>
    <row r="51">
      <c r="A51" s="0" t="inlineStr">
        <is>
          <t>2026-03-23</t>
        </is>
      </c>
      <c r="B51" s="0" t="n">
        <v>50</v>
      </c>
      <c r="C51" s="0" t="inlineStr">
        <is>
          <t>Humdard (From "Ek Villain")</t>
        </is>
      </c>
      <c r="D51" s="0" t="inlineStr">
        <is>
          <t>Arijit Singh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Date</t>
        </is>
      </c>
      <c r="B1" s="24" t="inlineStr">
        <is>
          <t>Rank</t>
        </is>
      </c>
      <c r="C1" s="24" t="inlineStr">
        <is>
          <t>Song</t>
        </is>
      </c>
      <c r="D1" s="24" t="inlineStr">
        <is>
          <t>Artist</t>
        </is>
      </c>
    </row>
    <row r="2">
      <c r="A2" s="0" t="inlineStr">
        <is>
          <t>2026-03-24</t>
        </is>
      </c>
      <c r="B2" s="0" t="n">
        <v>1</v>
      </c>
      <c r="C2" s="0" t="inlineStr">
        <is>
          <t>Bairan</t>
        </is>
      </c>
      <c r="D2" s="0" t="inlineStr">
        <is>
          <t>Banjaare</t>
        </is>
      </c>
    </row>
    <row r="3">
      <c r="A3" s="0" t="inlineStr">
        <is>
          <t>2026-03-24</t>
        </is>
      </c>
      <c r="B3" s="0" t="n">
        <v>2</v>
      </c>
      <c r="C3" s="0" t="inlineStr">
        <is>
          <t>Sheesha - Aakhya Mai Aakh Ghali Jo Bairan</t>
        </is>
      </c>
      <c r="D3" s="0" t="inlineStr">
        <is>
          <t>Mitta Ror, Swara Verma</t>
        </is>
      </c>
    </row>
    <row r="4">
      <c r="A4" s="0" t="inlineStr">
        <is>
          <t>2026-03-24</t>
        </is>
      </c>
      <c r="B4" s="0" t="n">
        <v>3</v>
      </c>
      <c r="C4" s="0" t="inlineStr">
        <is>
          <t>Jaiye Sajana</t>
        </is>
      </c>
      <c r="D4" s="0" t="inlineStr">
        <is>
          <t>Shashwat Sachdev, Jasmine Sandlas, Satinder Sartaaj</t>
        </is>
      </c>
    </row>
    <row r="5">
      <c r="A5" s="0" t="inlineStr">
        <is>
          <t>2026-03-24</t>
        </is>
      </c>
      <c r="B5" s="0" t="n">
        <v>4</v>
      </c>
      <c r="C5" s="0" t="inlineStr">
        <is>
          <t>Gehra Hua</t>
        </is>
      </c>
      <c r="D5" s="0" t="inlineStr">
        <is>
          <t>Shashwat Sachdev, Arijit Singh, Irshad Kamil, Armaan Khan</t>
        </is>
      </c>
    </row>
    <row r="6">
      <c r="A6" s="0" t="inlineStr">
        <is>
          <t>2026-03-24</t>
        </is>
      </c>
      <c r="B6" s="0" t="n">
        <v>5</v>
      </c>
      <c r="C6" s="0" t="inlineStr">
        <is>
          <t>Dhurandhar The Revenge - Aari Aari (From "Dhurandhar The Revenge")</t>
        </is>
      </c>
      <c r="D6" s="0" t="inlineStr">
        <is>
          <t>Shashwat Sachdev, Bombay Rockers, Irshad Kamil, Khan Saab, Reble, Token, Jasmine Sandlas, Sudhir Yaduvanshi</t>
        </is>
      </c>
    </row>
    <row r="7">
      <c r="A7" s="0" t="inlineStr">
        <is>
          <t>2026-03-24</t>
        </is>
      </c>
      <c r="B7" s="0" t="n">
        <v>6</v>
      </c>
      <c r="C7" s="0" t="inlineStr">
        <is>
          <t>Khat</t>
        </is>
      </c>
      <c r="D7" s="0" t="inlineStr">
        <is>
          <t>Navjot Ahuja</t>
        </is>
      </c>
    </row>
    <row r="8">
      <c r="A8" s="0" t="inlineStr">
        <is>
          <t>2026-03-24</t>
        </is>
      </c>
      <c r="B8" s="0" t="n">
        <v>7</v>
      </c>
      <c r="C8" s="0" t="inlineStr">
        <is>
          <t>Jaan Se Guzarte Hain</t>
        </is>
      </c>
      <c r="D8" s="0" t="inlineStr">
        <is>
          <t>Shashwat Sachdev, Khan Saab</t>
        </is>
      </c>
    </row>
    <row r="9">
      <c r="A9" s="0" t="inlineStr">
        <is>
          <t>2026-03-24</t>
        </is>
      </c>
      <c r="B9" s="0" t="n">
        <v>8</v>
      </c>
      <c r="C9" s="0" t="inlineStr">
        <is>
          <t>Sahiba</t>
        </is>
      </c>
      <c r="D9" s="0" t="inlineStr">
        <is>
          <t>Aditya Rikhari</t>
        </is>
      </c>
    </row>
    <row r="10">
      <c r="A10" s="0" t="inlineStr">
        <is>
          <t>2026-03-24</t>
        </is>
      </c>
      <c r="B10" s="0" t="n">
        <v>9</v>
      </c>
      <c r="C10" s="0" t="inlineStr">
        <is>
          <t>Dooron Dooron</t>
        </is>
      </c>
      <c r="D10" s="0" t="inlineStr">
        <is>
          <t>Paresh Pahuja, Shiv Tandan, Meghdeep Bose</t>
        </is>
      </c>
    </row>
    <row r="11">
      <c r="A11" s="0" t="inlineStr">
        <is>
          <t>2026-03-24</t>
        </is>
      </c>
      <c r="B11" s="0" t="n">
        <v>10</v>
      </c>
      <c r="C11" s="0" t="inlineStr">
        <is>
          <t>Sitaare (From "Ikkis")</t>
        </is>
      </c>
      <c r="D11" s="0" t="inlineStr">
        <is>
          <t>Arijit Singh, White Noise Collectives, Amitabh Bhattacharya</t>
        </is>
      </c>
    </row>
    <row r="12">
      <c r="A12" s="0" t="inlineStr">
        <is>
          <t>2026-03-24</t>
        </is>
      </c>
      <c r="B12" s="0" t="n">
        <v>11</v>
      </c>
      <c r="C12" s="0" t="inlineStr">
        <is>
          <t>Finding Her</t>
        </is>
      </c>
      <c r="D12" s="0" t="inlineStr">
        <is>
          <t>Kushagra, Bharath, Saaheal</t>
        </is>
      </c>
    </row>
    <row r="13">
      <c r="A13" s="0" t="inlineStr">
        <is>
          <t>2026-03-24</t>
        </is>
      </c>
      <c r="B13" s="0" t="n">
        <v>12</v>
      </c>
      <c r="C13" s="0" t="inlineStr">
        <is>
          <t>Apna Bana Le</t>
        </is>
      </c>
      <c r="D13" s="0" t="inlineStr">
        <is>
          <t>Sachin-Jigar, Arijit Singh, Amitabh Bhattacharya</t>
        </is>
      </c>
    </row>
    <row r="14">
      <c r="A14" s="0" t="inlineStr">
        <is>
          <t>2026-03-24</t>
        </is>
      </c>
      <c r="B14" s="0" t="n">
        <v>13</v>
      </c>
      <c r="C14" s="0" t="inlineStr">
        <is>
          <t>Samjhawan</t>
        </is>
      </c>
      <c r="D14" s="0" t="inlineStr">
        <is>
          <t>Jawad Ahmad, Shaarib Toshi, Arijit Singh, Shreya Ghoshal</t>
        </is>
      </c>
    </row>
    <row r="15">
      <c r="A15" s="0" t="inlineStr">
        <is>
          <t>2026-03-24</t>
        </is>
      </c>
      <c r="B15" s="0" t="n">
        <v>14</v>
      </c>
      <c r="C15" s="0" t="inlineStr">
        <is>
          <t>Dhurandhar - Title Track</t>
        </is>
      </c>
      <c r="D15" s="0" t="inlineStr">
        <is>
          <t>Shashwat Sachdev, Hanumankind, Jasmine Sandlas, Sudhir Yaduvanshi, Charanjit Ahuja, Muhammad Sadiq, Ranjit Kaur, Babu Singh Maan</t>
        </is>
      </c>
    </row>
    <row r="16">
      <c r="A16" s="0" t="inlineStr">
        <is>
          <t>2026-03-24</t>
        </is>
      </c>
      <c r="B16" s="0" t="n">
        <v>15</v>
      </c>
      <c r="C16" s="0" t="inlineStr">
        <is>
          <t>Shararat</t>
        </is>
      </c>
      <c r="D16" s="0" t="inlineStr">
        <is>
          <t>Shashwat Sachdev, Madhubanti Bagchi, Jasmine Sandlas</t>
        </is>
      </c>
    </row>
    <row r="17">
      <c r="A17" s="0" t="inlineStr">
        <is>
          <t>2026-03-24</t>
        </is>
      </c>
      <c r="B17" s="0" t="n">
        <v>16</v>
      </c>
      <c r="C17" s="0" t="inlineStr">
        <is>
          <t>Arz Kiya Hai | Coke Studio Bharat</t>
        </is>
      </c>
      <c r="D17" s="0" t="inlineStr">
        <is>
          <t>Anuv Jain</t>
        </is>
      </c>
    </row>
    <row r="18">
      <c r="A18" s="0" t="inlineStr">
        <is>
          <t>2026-03-24</t>
        </is>
      </c>
      <c r="B18" s="0" t="n">
        <v>17</v>
      </c>
      <c r="C18" s="0" t="inlineStr">
        <is>
          <t>For A Reason</t>
        </is>
      </c>
      <c r="D18" s="0" t="inlineStr">
        <is>
          <t>Karan Aujla, Ikky</t>
        </is>
      </c>
    </row>
    <row r="19">
      <c r="A19" s="0" t="inlineStr">
        <is>
          <t>2026-03-24</t>
        </is>
      </c>
      <c r="B19" s="0" t="n">
        <v>18</v>
      </c>
      <c r="C19" s="0" t="inlineStr">
        <is>
          <t>Boyfriend</t>
        </is>
      </c>
      <c r="D19" s="0" t="inlineStr">
        <is>
          <t>Karan Aujla, Ikky</t>
        </is>
      </c>
    </row>
    <row r="20">
      <c r="A20" s="0" t="inlineStr">
        <is>
          <t>2026-03-24</t>
        </is>
      </c>
      <c r="B20" s="0" t="n">
        <v>19</v>
      </c>
      <c r="C20" s="0" t="inlineStr">
        <is>
          <t>Ishq</t>
        </is>
      </c>
      <c r="D20" s="0" t="inlineStr">
        <is>
          <t>Faheem Abdullah, Rauhan Malik, Amir Ameer</t>
        </is>
      </c>
    </row>
    <row r="21">
      <c r="A21" s="0" t="inlineStr">
        <is>
          <t>2026-03-24</t>
        </is>
      </c>
      <c r="B21" s="0" t="n">
        <v>20</v>
      </c>
      <c r="C21" s="0" t="inlineStr">
        <is>
          <t>Pavazha Malli - From "Think Indie"</t>
        </is>
      </c>
      <c r="D21" s="0" t="inlineStr">
        <is>
          <t>Sai Abhyankkar, Shruti Haasan, Vivek</t>
        </is>
      </c>
    </row>
    <row r="22">
      <c r="A22" s="0" t="inlineStr">
        <is>
          <t>2026-03-24</t>
        </is>
      </c>
      <c r="B22" s="0" t="n">
        <v>21</v>
      </c>
      <c r="C22" s="0" t="inlineStr">
        <is>
          <t>Ishqa Ve</t>
        </is>
      </c>
      <c r="D22" s="0" t="inlineStr">
        <is>
          <t>Zeeshan Ali, Yuvraj Tung, Sandeep Aulakh, Honey Dhillon</t>
        </is>
      </c>
    </row>
    <row r="23">
      <c r="A23" s="0" t="inlineStr">
        <is>
          <t>2026-03-24</t>
        </is>
      </c>
      <c r="B23" s="0" t="n">
        <v>22</v>
      </c>
      <c r="C23" s="0" t="inlineStr">
        <is>
          <t>Mann Mera</t>
        </is>
      </c>
      <c r="D23" s="0" t="inlineStr">
        <is>
          <t>Gajendra Verma</t>
        </is>
      </c>
    </row>
    <row r="24">
      <c r="A24" s="0" t="inlineStr">
        <is>
          <t>2026-03-24</t>
        </is>
      </c>
      <c r="B24" s="0" t="n">
        <v>23</v>
      </c>
      <c r="C24" s="0" t="inlineStr">
        <is>
          <t>Saiyaara</t>
        </is>
      </c>
      <c r="D24" s="0" t="inlineStr">
        <is>
          <t>Tanishk Bagchi, Faheem Abdullah, Arslan Nizami, Irshad Kamil</t>
        </is>
      </c>
    </row>
    <row r="25">
      <c r="A25" s="0" t="inlineStr">
        <is>
          <t>2026-03-24</t>
        </is>
      </c>
      <c r="B25" s="0" t="n">
        <v>24</v>
      </c>
      <c r="C25" s="0" t="inlineStr">
        <is>
          <t>Bairi</t>
        </is>
      </c>
      <c r="D25" s="0" t="inlineStr">
        <is>
          <t>Virat, Pradeep Solanki, Heena</t>
        </is>
      </c>
    </row>
    <row r="26">
      <c r="A26" s="0" t="inlineStr">
        <is>
          <t>2026-03-24</t>
        </is>
      </c>
      <c r="B26" s="0" t="n">
        <v>25</v>
      </c>
      <c r="C26" s="0" t="inlineStr">
        <is>
          <t>Raanjhan (From "Do Patti")</t>
        </is>
      </c>
      <c r="D26" s="0" t="inlineStr">
        <is>
          <t>Sachet-Parampara, Parampara Tandon, Kausar Munir</t>
        </is>
      </c>
    </row>
    <row r="27">
      <c r="A27" s="0" t="inlineStr">
        <is>
          <t>2026-03-24</t>
        </is>
      </c>
      <c r="B27" s="0" t="n">
        <v>26</v>
      </c>
      <c r="C27" s="0" t="inlineStr">
        <is>
          <t>Naal Nachna</t>
        </is>
      </c>
      <c r="D27" s="0" t="inlineStr">
        <is>
          <t>Shashwat Sachdev, Afsana Khan, Irshad Kamil, Reble</t>
        </is>
      </c>
    </row>
    <row r="28">
      <c r="A28" s="0" t="inlineStr">
        <is>
          <t>2026-03-24</t>
        </is>
      </c>
      <c r="B28" s="0" t="n">
        <v>27</v>
      </c>
      <c r="C28" s="0" t="inlineStr">
        <is>
          <t>Jogi</t>
        </is>
      </c>
      <c r="D28" s="0" t="inlineStr">
        <is>
          <t>thiarajxtt, Bir</t>
        </is>
      </c>
    </row>
    <row r="29">
      <c r="A29" s="0" t="inlineStr">
        <is>
          <t>2026-03-24</t>
        </is>
      </c>
      <c r="B29" s="0" t="n">
        <v>28</v>
      </c>
      <c r="C29" s="0" t="inlineStr">
        <is>
          <t>Deewaana Deewaana</t>
        </is>
      </c>
      <c r="D29" s="0" t="inlineStr">
        <is>
          <t>A.R. Rahman, Irshad Kamil</t>
        </is>
      </c>
    </row>
    <row r="30">
      <c r="A30" s="0" t="inlineStr">
        <is>
          <t>2026-03-24</t>
        </is>
      </c>
      <c r="B30" s="0" t="n">
        <v>29</v>
      </c>
      <c r="C30" s="0" t="inlineStr">
        <is>
          <t>SWIM</t>
        </is>
      </c>
      <c r="D30" s="0" t="inlineStr">
        <is>
          <t>BTS</t>
        </is>
      </c>
    </row>
    <row r="31">
      <c r="A31" s="0" t="inlineStr">
        <is>
          <t>2026-03-24</t>
        </is>
      </c>
      <c r="B31" s="0" t="n">
        <v>30</v>
      </c>
      <c r="C31" s="0" t="inlineStr">
        <is>
          <t>Lutt Le Gaya</t>
        </is>
      </c>
      <c r="D31" s="0" t="inlineStr">
        <is>
          <t>Shashwat Sachdev, Simran Choudhary</t>
        </is>
      </c>
    </row>
    <row r="32">
      <c r="A32" s="0" t="inlineStr">
        <is>
          <t>2026-03-24</t>
        </is>
      </c>
      <c r="B32" s="0" t="n">
        <v>31</v>
      </c>
      <c r="C32" s="0" t="inlineStr">
        <is>
          <t>Tere Liye</t>
        </is>
      </c>
      <c r="D32" s="0" t="inlineStr">
        <is>
          <t>Atif Aslam, Shreya Ghoshal, Sachin Gupta, Sameer Anjaan</t>
        </is>
      </c>
    </row>
    <row r="33">
      <c r="A33" s="0" t="inlineStr">
        <is>
          <t>2026-03-24</t>
        </is>
      </c>
      <c r="B33" s="0" t="n">
        <v>32</v>
      </c>
      <c r="C33" s="0" t="inlineStr">
        <is>
          <t>Tum Ho Toh (From "Saiyaara")</t>
        </is>
      </c>
      <c r="D33" s="0" t="inlineStr">
        <is>
          <t>Vishal Mishra, Hansika Pareek, Raj Shekhar</t>
        </is>
      </c>
    </row>
    <row r="34">
      <c r="A34" s="0" t="inlineStr">
        <is>
          <t>2026-03-24</t>
        </is>
      </c>
      <c r="B34" s="0" t="n">
        <v>33</v>
      </c>
      <c r="C34" s="0" t="inlineStr">
        <is>
          <t>Tere Bina</t>
        </is>
      </c>
      <c r="D34" s="0" t="inlineStr">
        <is>
          <t>A.R. Rahman, Chinmayi, Murtuza Khan, Qadir Khan</t>
        </is>
      </c>
    </row>
    <row r="35">
      <c r="A35" s="0" t="inlineStr">
        <is>
          <t>2026-03-24</t>
        </is>
      </c>
      <c r="B35" s="0" t="n">
        <v>34</v>
      </c>
      <c r="C35" s="0" t="inlineStr">
        <is>
          <t>Ishq Jalakar - Karvaan</t>
        </is>
      </c>
      <c r="D35" s="0" t="inlineStr">
        <is>
          <t>Shashwat Sachdev, Shahzad Ali, Subhadeep Das Chowdhury, Armaan Khan, Irshad Kamil, Roshan, Sahir Ludhianvi</t>
        </is>
      </c>
    </row>
    <row r="36">
      <c r="A36" s="0" t="inlineStr">
        <is>
          <t>2026-03-24</t>
        </is>
      </c>
      <c r="B36" s="0" t="n">
        <v>35</v>
      </c>
      <c r="C36" s="0" t="inlineStr">
        <is>
          <t>Haseen</t>
        </is>
      </c>
      <c r="D36" s="0" t="inlineStr">
        <is>
          <t>Talwiinder, NDS, Rippy Grewal</t>
        </is>
      </c>
    </row>
    <row r="37">
      <c r="A37" s="0" t="inlineStr">
        <is>
          <t>2026-03-24</t>
        </is>
      </c>
      <c r="B37" s="0" t="n">
        <v>36</v>
      </c>
      <c r="C37" s="0" t="inlineStr">
        <is>
          <t>Agar Tum Saath Ho (From "Tamasha")</t>
        </is>
      </c>
      <c r="D37" s="0" t="inlineStr">
        <is>
          <t>Alka Yagnik, Arijit Singh</t>
        </is>
      </c>
    </row>
    <row r="38">
      <c r="A38" s="0" t="inlineStr">
        <is>
          <t>2026-03-24</t>
        </is>
      </c>
      <c r="B38" s="0" t="n">
        <v>37</v>
      </c>
      <c r="C38" s="0" t="inlineStr">
        <is>
          <t>Aaya Sher (From "The Paradise") (Telugu)</t>
        </is>
      </c>
      <c r="D38" s="0" t="inlineStr">
        <is>
          <t>Anirudh Ravichander, Jangi Reddy, Arjun Chandy, Kasarla Shyam</t>
        </is>
      </c>
    </row>
    <row r="39">
      <c r="A39" s="0" t="inlineStr">
        <is>
          <t>2026-03-24</t>
        </is>
      </c>
      <c r="B39" s="0" t="n">
        <v>38</v>
      </c>
      <c r="C39" s="0" t="inlineStr">
        <is>
          <t>Jo Tum Mere Ho</t>
        </is>
      </c>
      <c r="D39" s="0" t="inlineStr">
        <is>
          <t>Anuv Jain</t>
        </is>
      </c>
    </row>
    <row r="40">
      <c r="A40" s="0" t="inlineStr">
        <is>
          <t>2026-03-24</t>
        </is>
      </c>
      <c r="B40" s="0" t="n">
        <v>39</v>
      </c>
      <c r="C40" s="0" t="inlineStr">
        <is>
          <t>Main Aur Tu (From "Dhurandhar The Revenge")</t>
        </is>
      </c>
      <c r="D40" s="0" t="inlineStr">
        <is>
          <t>Shashwat Sachdev, Jasmine Sandlas, Reble</t>
        </is>
      </c>
    </row>
    <row r="41">
      <c r="A41" s="0" t="inlineStr">
        <is>
          <t>2026-03-24</t>
        </is>
      </c>
      <c r="B41" s="0" t="n">
        <v>40</v>
      </c>
      <c r="C41" s="0" t="inlineStr">
        <is>
          <t>Darkhaast</t>
        </is>
      </c>
      <c r="D41" s="0" t="inlineStr">
        <is>
          <t>Mithoon, Arijit Singh, Sunidhi Chauhan, Sayeed Quadri</t>
        </is>
      </c>
    </row>
    <row r="42">
      <c r="A42" s="0" t="inlineStr">
        <is>
          <t>2026-03-24</t>
        </is>
      </c>
      <c r="B42" s="0" t="n">
        <v>41</v>
      </c>
      <c r="C42" s="0" t="inlineStr">
        <is>
          <t>Run Down The City - Monica</t>
        </is>
      </c>
      <c r="D42" s="0" t="inlineStr">
        <is>
          <t>Shashwat Sachdev, Reble, Asha Bhosle, R. D. Burman, Majrooh Sultanpuri</t>
        </is>
      </c>
    </row>
    <row r="43">
      <c r="A43" s="0" t="inlineStr">
        <is>
          <t>2026-03-24</t>
        </is>
      </c>
      <c r="B43" s="0" t="n">
        <v>42</v>
      </c>
      <c r="C43" s="0" t="inlineStr">
        <is>
          <t>Mutta Kalakki (From "Youth")</t>
        </is>
      </c>
      <c r="D43" s="0" t="inlineStr">
        <is>
          <t>G. V. Prakash, Ken Karunaas</t>
        </is>
      </c>
    </row>
    <row r="44">
      <c r="A44" s="0" t="inlineStr">
        <is>
          <t>2026-03-24</t>
        </is>
      </c>
      <c r="B44" s="0" t="n">
        <v>43</v>
      </c>
      <c r="C44" s="0" t="inlineStr">
        <is>
          <t>Barbaad (From "Saiyaara")</t>
        </is>
      </c>
      <c r="D44" s="0" t="inlineStr">
        <is>
          <t>The Rish, Jubin Nautiyal</t>
        </is>
      </c>
    </row>
    <row r="45">
      <c r="A45" s="0" t="inlineStr">
        <is>
          <t>2026-03-24</t>
        </is>
      </c>
      <c r="B45" s="0" t="n">
        <v>44</v>
      </c>
      <c r="C45" s="0" t="inlineStr">
        <is>
          <t>Ye Tune Kya Kiya</t>
        </is>
      </c>
      <c r="D45" s="0" t="inlineStr">
        <is>
          <t>Pritam, Javed Bashir, Rajat Arora</t>
        </is>
      </c>
    </row>
    <row r="46">
      <c r="A46" s="0" t="inlineStr">
        <is>
          <t>2026-03-24</t>
        </is>
      </c>
      <c r="B46" s="0" t="n">
        <v>45</v>
      </c>
      <c r="C46" s="0" t="inlineStr">
        <is>
          <t>Phir Se (From "Dhurandhar The Revenge")</t>
        </is>
      </c>
      <c r="D46" s="0" t="inlineStr">
        <is>
          <t>Shashwat Sachdev, Arijit Singh, Irshad Kamil</t>
        </is>
      </c>
    </row>
    <row r="47">
      <c r="A47" s="0" t="inlineStr">
        <is>
          <t>2026-03-24</t>
        </is>
      </c>
      <c r="B47" s="0" t="n">
        <v>46</v>
      </c>
      <c r="C47" s="0" t="inlineStr">
        <is>
          <t>Not Guilty</t>
        </is>
      </c>
      <c r="D47" s="0" t="inlineStr">
        <is>
          <t>Dhanda Nyoliwala</t>
        </is>
      </c>
    </row>
    <row r="48">
      <c r="A48" s="0" t="inlineStr">
        <is>
          <t>2026-03-24</t>
        </is>
      </c>
      <c r="B48" s="0" t="n">
        <v>47</v>
      </c>
      <c r="C48" s="0" t="inlineStr">
        <is>
          <t>Ehsaas</t>
        </is>
      </c>
      <c r="D48" s="0" t="inlineStr">
        <is>
          <t>Faheem Abdullah, Duha Shah, Vaibhav Pani, Hyder Dar</t>
        </is>
      </c>
    </row>
    <row r="49">
      <c r="A49" s="0" t="inlineStr">
        <is>
          <t>2026-03-24</t>
        </is>
      </c>
      <c r="B49" s="0" t="n">
        <v>48</v>
      </c>
      <c r="C49" s="0" t="inlineStr">
        <is>
          <t>Mast Magan (From "2 States)</t>
        </is>
      </c>
      <c r="D49" s="0" t="inlineStr">
        <is>
          <t>Arijit Singh, Chinmayi</t>
        </is>
      </c>
    </row>
    <row r="50">
      <c r="A50" s="0" t="inlineStr">
        <is>
          <t>2026-03-24</t>
        </is>
      </c>
      <c r="B50" s="0" t="n">
        <v>49</v>
      </c>
      <c r="C50" s="0" t="inlineStr">
        <is>
          <t>Thodi Si Daaru</t>
        </is>
      </c>
      <c r="D50" s="0" t="inlineStr">
        <is>
          <t>AP Dhillon, Shreya Ghoshal</t>
        </is>
      </c>
    </row>
    <row r="51">
      <c r="A51" s="0" t="inlineStr">
        <is>
          <t>2026-03-24</t>
        </is>
      </c>
      <c r="B51" s="0" t="n">
        <v>50</v>
      </c>
      <c r="C51" s="0" t="inlineStr">
        <is>
          <t>Dhun (From "Saiyaara")</t>
        </is>
      </c>
      <c r="D51" s="0" t="inlineStr">
        <is>
          <t>Mithoon, Arijit Singh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Date</t>
        </is>
      </c>
      <c r="B1" s="24" t="inlineStr">
        <is>
          <t>Rank</t>
        </is>
      </c>
      <c r="C1" s="24" t="inlineStr">
        <is>
          <t>Song</t>
        </is>
      </c>
      <c r="D1" s="24" t="inlineStr">
        <is>
          <t>Artist</t>
        </is>
      </c>
    </row>
    <row r="2">
      <c r="A2" s="0" t="inlineStr">
        <is>
          <t>2026-03-25</t>
        </is>
      </c>
      <c r="B2" s="0" t="n">
        <v>1</v>
      </c>
      <c r="C2" s="0" t="inlineStr">
        <is>
          <t>Bairan</t>
        </is>
      </c>
      <c r="D2" s="0" t="inlineStr">
        <is>
          <t>Banjaare</t>
        </is>
      </c>
    </row>
    <row r="3">
      <c r="A3" s="0" t="inlineStr">
        <is>
          <t>2026-03-25</t>
        </is>
      </c>
      <c r="B3" s="0" t="n">
        <v>2</v>
      </c>
      <c r="C3" s="0" t="inlineStr">
        <is>
          <t>Jaiye Sajana</t>
        </is>
      </c>
      <c r="D3" s="0" t="inlineStr">
        <is>
          <t>Shashwat Sachdev, Jasmine Sandlas, Satinder Sartaaj</t>
        </is>
      </c>
    </row>
    <row r="4">
      <c r="A4" s="0" t="inlineStr">
        <is>
          <t>2026-03-25</t>
        </is>
      </c>
      <c r="B4" s="0" t="n">
        <v>3</v>
      </c>
      <c r="C4" s="0" t="inlineStr">
        <is>
          <t>Sheesha - Aakhya Mai Aakh Ghali Jo Bairan</t>
        </is>
      </c>
      <c r="D4" s="0" t="inlineStr">
        <is>
          <t>Mitta Ror, Swara Verma</t>
        </is>
      </c>
    </row>
    <row r="5">
      <c r="A5" s="0" t="inlineStr">
        <is>
          <t>2026-03-25</t>
        </is>
      </c>
      <c r="B5" s="0" t="n">
        <v>4</v>
      </c>
      <c r="C5" s="0" t="inlineStr">
        <is>
          <t>Gehra Hua</t>
        </is>
      </c>
      <c r="D5" s="0" t="inlineStr">
        <is>
          <t>Shashwat Sachdev, Arijit Singh, Irshad Kamil, Armaan Khan</t>
        </is>
      </c>
    </row>
    <row r="6">
      <c r="A6" s="0" t="inlineStr">
        <is>
          <t>2026-03-25</t>
        </is>
      </c>
      <c r="B6" s="0" t="n">
        <v>5</v>
      </c>
      <c r="C6" s="0" t="inlineStr">
        <is>
          <t>Dhurandhar The Revenge - Aari Aari</t>
        </is>
      </c>
      <c r="D6" s="0" t="inlineStr">
        <is>
          <t>Shashwat Sachdev, Bombay Rockers, Irshad Kamil, Khan Saab, Reble, Token, Jasmine Sandlas, Sudhir Yaduvanshi</t>
        </is>
      </c>
    </row>
    <row r="7">
      <c r="A7" s="0" t="inlineStr">
        <is>
          <t>2026-03-25</t>
        </is>
      </c>
      <c r="B7" s="0" t="n">
        <v>6</v>
      </c>
      <c r="C7" s="0" t="inlineStr">
        <is>
          <t>Khat</t>
        </is>
      </c>
      <c r="D7" s="0" t="inlineStr">
        <is>
          <t>Navjot Ahuja</t>
        </is>
      </c>
    </row>
    <row r="8">
      <c r="A8" s="0" t="inlineStr">
        <is>
          <t>2026-03-25</t>
        </is>
      </c>
      <c r="B8" s="0" t="n">
        <v>7</v>
      </c>
      <c r="C8" s="0" t="inlineStr">
        <is>
          <t>Jaan Se Guzarte Hain</t>
        </is>
      </c>
      <c r="D8" s="0" t="inlineStr">
        <is>
          <t>Shashwat Sachdev, Khan Saab</t>
        </is>
      </c>
    </row>
    <row r="9">
      <c r="A9" s="0" t="inlineStr">
        <is>
          <t>2026-03-25</t>
        </is>
      </c>
      <c r="B9" s="0" t="n">
        <v>8</v>
      </c>
      <c r="C9" s="0" t="inlineStr">
        <is>
          <t>Dooron Dooron</t>
        </is>
      </c>
      <c r="D9" s="0" t="inlineStr">
        <is>
          <t>Paresh Pahuja, Shiv Tandan, Meghdeep Bose</t>
        </is>
      </c>
    </row>
    <row r="10">
      <c r="A10" s="0" t="inlineStr">
        <is>
          <t>2026-03-25</t>
        </is>
      </c>
      <c r="B10" s="0" t="n">
        <v>9</v>
      </c>
      <c r="C10" s="0" t="inlineStr">
        <is>
          <t>Sitaare (From "Ikkis")</t>
        </is>
      </c>
      <c r="D10" s="0" t="inlineStr">
        <is>
          <t>Arijit Singh, White Noise Collectives, Amitabh Bhattacharya</t>
        </is>
      </c>
    </row>
    <row r="11">
      <c r="A11" s="0" t="inlineStr">
        <is>
          <t>2026-03-25</t>
        </is>
      </c>
      <c r="B11" s="0" t="n">
        <v>10</v>
      </c>
      <c r="C11" s="0" t="inlineStr">
        <is>
          <t>Sahiba</t>
        </is>
      </c>
      <c r="D11" s="0" t="inlineStr">
        <is>
          <t>Aditya Rikhari</t>
        </is>
      </c>
    </row>
    <row r="12">
      <c r="A12" s="0" t="inlineStr">
        <is>
          <t>2026-03-25</t>
        </is>
      </c>
      <c r="B12" s="0" t="n">
        <v>11</v>
      </c>
      <c r="C12" s="0" t="inlineStr">
        <is>
          <t>Finding Her</t>
        </is>
      </c>
      <c r="D12" s="0" t="inlineStr">
        <is>
          <t>Kushagra, Bharath, Saaheal</t>
        </is>
      </c>
    </row>
    <row r="13">
      <c r="A13" s="0" t="inlineStr">
        <is>
          <t>2026-03-25</t>
        </is>
      </c>
      <c r="B13" s="0" t="n">
        <v>12</v>
      </c>
      <c r="C13" s="0" t="inlineStr">
        <is>
          <t>Apna Bana Le</t>
        </is>
      </c>
      <c r="D13" s="0" t="inlineStr">
        <is>
          <t>Sachin-Jigar, Arijit Singh, Amitabh Bhattacharya</t>
        </is>
      </c>
    </row>
    <row r="14">
      <c r="A14" s="0" t="inlineStr">
        <is>
          <t>2026-03-25</t>
        </is>
      </c>
      <c r="B14" s="0" t="n">
        <v>13</v>
      </c>
      <c r="C14" s="0" t="inlineStr">
        <is>
          <t>Shararat</t>
        </is>
      </c>
      <c r="D14" s="0" t="inlineStr">
        <is>
          <t>Shashwat Sachdev, Madhubanti Bagchi, Jasmine Sandlas</t>
        </is>
      </c>
    </row>
    <row r="15">
      <c r="A15" s="0" t="inlineStr">
        <is>
          <t>2026-03-25</t>
        </is>
      </c>
      <c r="B15" s="0" t="n">
        <v>14</v>
      </c>
      <c r="C15" s="0" t="inlineStr">
        <is>
          <t>Samjhawan</t>
        </is>
      </c>
      <c r="D15" s="0" t="inlineStr">
        <is>
          <t>Jawad Ahmad, Shaarib Toshi, Arijit Singh, Shreya Ghoshal</t>
        </is>
      </c>
    </row>
    <row r="16">
      <c r="A16" s="0" t="inlineStr">
        <is>
          <t>2026-03-25</t>
        </is>
      </c>
      <c r="B16" s="0" t="n">
        <v>15</v>
      </c>
      <c r="C16" s="0" t="inlineStr">
        <is>
          <t>Dhurandhar - Title Track</t>
        </is>
      </c>
      <c r="D16" s="0" t="inlineStr">
        <is>
          <t>Shashwat Sachdev, Hanumankind, Jasmine Sandlas, Sudhir Yaduvanshi, Charanjit Ahuja, Muhammad Sadiq, Ranjit Kaur, Babu Singh Maan</t>
        </is>
      </c>
    </row>
    <row r="17">
      <c r="A17" s="0" t="inlineStr">
        <is>
          <t>2026-03-25</t>
        </is>
      </c>
      <c r="B17" s="0" t="n">
        <v>16</v>
      </c>
      <c r="C17" s="0" t="inlineStr">
        <is>
          <t>Arz Kiya Hai | Coke Studio Bharat</t>
        </is>
      </c>
      <c r="D17" s="0" t="inlineStr">
        <is>
          <t>Anuv Jain</t>
        </is>
      </c>
    </row>
    <row r="18">
      <c r="A18" s="0" t="inlineStr">
        <is>
          <t>2026-03-25</t>
        </is>
      </c>
      <c r="B18" s="0" t="n">
        <v>17</v>
      </c>
      <c r="C18" s="0" t="inlineStr">
        <is>
          <t>Ishqa Ve</t>
        </is>
      </c>
      <c r="D18" s="0" t="inlineStr">
        <is>
          <t>Zeeshan Ali, Yuvraj Tung, Sandeep Aulakh, Honey Dhillon</t>
        </is>
      </c>
    </row>
    <row r="19">
      <c r="A19" s="0" t="inlineStr">
        <is>
          <t>2026-03-25</t>
        </is>
      </c>
      <c r="B19" s="0" t="n">
        <v>18</v>
      </c>
      <c r="C19" s="0" t="inlineStr">
        <is>
          <t>For A Reason</t>
        </is>
      </c>
      <c r="D19" s="0" t="inlineStr">
        <is>
          <t>Karan Aujla, Ikky</t>
        </is>
      </c>
    </row>
    <row r="20">
      <c r="A20" s="0" t="inlineStr">
        <is>
          <t>2026-03-25</t>
        </is>
      </c>
      <c r="B20" s="0" t="n">
        <v>19</v>
      </c>
      <c r="C20" s="0" t="inlineStr">
        <is>
          <t>Boyfriend</t>
        </is>
      </c>
      <c r="D20" s="0" t="inlineStr">
        <is>
          <t>Karan Aujla, Ikky</t>
        </is>
      </c>
    </row>
    <row r="21">
      <c r="A21" s="0" t="inlineStr">
        <is>
          <t>2026-03-25</t>
        </is>
      </c>
      <c r="B21" s="0" t="n">
        <v>20</v>
      </c>
      <c r="C21" s="0" t="inlineStr">
        <is>
          <t>Pavazha Malli - From "Think Indie"</t>
        </is>
      </c>
      <c r="D21" s="0" t="inlineStr">
        <is>
          <t>Sai Abhyankkar, Shruti Haasan, Vivek</t>
        </is>
      </c>
    </row>
    <row r="22">
      <c r="A22" s="0" t="inlineStr">
        <is>
          <t>2026-03-25</t>
        </is>
      </c>
      <c r="B22" s="0" t="n">
        <v>21</v>
      </c>
      <c r="C22" s="0" t="inlineStr">
        <is>
          <t>Mann Mera</t>
        </is>
      </c>
      <c r="D22" s="0" t="inlineStr">
        <is>
          <t>Gajendra Verma</t>
        </is>
      </c>
    </row>
    <row r="23">
      <c r="A23" s="0" t="inlineStr">
        <is>
          <t>2026-03-25</t>
        </is>
      </c>
      <c r="B23" s="0" t="n">
        <v>22</v>
      </c>
      <c r="C23" s="0" t="inlineStr">
        <is>
          <t>Bairi</t>
        </is>
      </c>
      <c r="D23" s="0" t="inlineStr">
        <is>
          <t>Virat, Pradeep Solanki, Heena</t>
        </is>
      </c>
    </row>
    <row r="24">
      <c r="A24" s="0" t="inlineStr">
        <is>
          <t>2026-03-25</t>
        </is>
      </c>
      <c r="B24" s="0" t="n">
        <v>23</v>
      </c>
      <c r="C24" s="0" t="inlineStr">
        <is>
          <t>Ishq</t>
        </is>
      </c>
      <c r="D24" s="0" t="inlineStr">
        <is>
          <t>Faheem Abdullah, Rauhan Malik, Amir Ameer</t>
        </is>
      </c>
    </row>
    <row r="25">
      <c r="A25" s="0" t="inlineStr">
        <is>
          <t>2026-03-25</t>
        </is>
      </c>
      <c r="B25" s="0" t="n">
        <v>24</v>
      </c>
      <c r="C25" s="0" t="inlineStr">
        <is>
          <t>Saiyaara</t>
        </is>
      </c>
      <c r="D25" s="0" t="inlineStr">
        <is>
          <t>Tanishk Bagchi, Faheem Abdullah, Arslan Nizami, Irshad Kamil</t>
        </is>
      </c>
    </row>
    <row r="26">
      <c r="A26" s="0" t="inlineStr">
        <is>
          <t>2026-03-25</t>
        </is>
      </c>
      <c r="B26" s="0" t="n">
        <v>25</v>
      </c>
      <c r="C26" s="0" t="inlineStr">
        <is>
          <t>Naal Nachna</t>
        </is>
      </c>
      <c r="D26" s="0" t="inlineStr">
        <is>
          <t>Shashwat Sachdev, Afsana Khan, Irshad Kamil, Reble</t>
        </is>
      </c>
    </row>
    <row r="27">
      <c r="A27" s="0" t="inlineStr">
        <is>
          <t>2026-03-25</t>
        </is>
      </c>
      <c r="B27" s="0" t="n">
        <v>26</v>
      </c>
      <c r="C27" s="0" t="inlineStr">
        <is>
          <t>SWIM</t>
        </is>
      </c>
      <c r="D27" s="0" t="inlineStr">
        <is>
          <t>BTS</t>
        </is>
      </c>
    </row>
    <row r="28">
      <c r="A28" s="0" t="inlineStr">
        <is>
          <t>2026-03-25</t>
        </is>
      </c>
      <c r="B28" s="0" t="n">
        <v>27</v>
      </c>
      <c r="C28" s="0" t="inlineStr">
        <is>
          <t>Raanjhan (From "Do Patti")</t>
        </is>
      </c>
      <c r="D28" s="0" t="inlineStr">
        <is>
          <t>Sachet-Parampara, Parampara Tandon, Kausar Munir</t>
        </is>
      </c>
    </row>
    <row r="29">
      <c r="A29" s="0" t="inlineStr">
        <is>
          <t>2026-03-25</t>
        </is>
      </c>
      <c r="B29" s="0" t="n">
        <v>28</v>
      </c>
      <c r="C29" s="0" t="inlineStr">
        <is>
          <t>Phir Se</t>
        </is>
      </c>
      <c r="D29" s="0" t="inlineStr">
        <is>
          <t>Shashwat Sachdev, Arijit Singh, Irshad Kamil</t>
        </is>
      </c>
    </row>
    <row r="30">
      <c r="A30" s="0" t="inlineStr">
        <is>
          <t>2026-03-25</t>
        </is>
      </c>
      <c r="B30" s="0" t="n">
        <v>29</v>
      </c>
      <c r="C30" s="0" t="inlineStr">
        <is>
          <t>Main Aur Tu</t>
        </is>
      </c>
      <c r="D30" s="0" t="inlineStr">
        <is>
          <t>Shashwat Sachdev, Jasmine Sandlas, Reble</t>
        </is>
      </c>
    </row>
    <row r="31">
      <c r="A31" s="0" t="inlineStr">
        <is>
          <t>2026-03-25</t>
        </is>
      </c>
      <c r="B31" s="0" t="n">
        <v>30</v>
      </c>
      <c r="C31" s="0" t="inlineStr">
        <is>
          <t>Deewaana Deewaana</t>
        </is>
      </c>
      <c r="D31" s="0" t="inlineStr">
        <is>
          <t>A.R. Rahman, Irshad Kamil</t>
        </is>
      </c>
    </row>
    <row r="32">
      <c r="A32" s="0" t="inlineStr">
        <is>
          <t>2026-03-25</t>
        </is>
      </c>
      <c r="B32" s="0" t="n">
        <v>31</v>
      </c>
      <c r="C32" s="0" t="inlineStr">
        <is>
          <t>Lutt Le Gaya</t>
        </is>
      </c>
      <c r="D32" s="0" t="inlineStr">
        <is>
          <t>Shashwat Sachdev, Simran Choudhary</t>
        </is>
      </c>
    </row>
    <row r="33">
      <c r="A33" s="0" t="inlineStr">
        <is>
          <t>2026-03-25</t>
        </is>
      </c>
      <c r="B33" s="0" t="n">
        <v>32</v>
      </c>
      <c r="C33" s="0" t="inlineStr">
        <is>
          <t>Tum Ho Toh (From "Saiyaara")</t>
        </is>
      </c>
      <c r="D33" s="0" t="inlineStr">
        <is>
          <t>Vishal Mishra, Hansika Pareek, Raj Shekhar</t>
        </is>
      </c>
    </row>
    <row r="34">
      <c r="A34" s="0" t="inlineStr">
        <is>
          <t>2026-03-25</t>
        </is>
      </c>
      <c r="B34" s="0" t="n">
        <v>33</v>
      </c>
      <c r="C34" s="0" t="inlineStr">
        <is>
          <t>Darkhaast</t>
        </is>
      </c>
      <c r="D34" s="0" t="inlineStr">
        <is>
          <t>Mithoon, Arijit Singh, Sunidhi Chauhan, Sayeed Quadri</t>
        </is>
      </c>
    </row>
    <row r="35">
      <c r="A35" s="0" t="inlineStr">
        <is>
          <t>2026-03-25</t>
        </is>
      </c>
      <c r="B35" s="0" t="n">
        <v>34</v>
      </c>
      <c r="C35" s="0" t="inlineStr">
        <is>
          <t>Tere Liye</t>
        </is>
      </c>
      <c r="D35" s="0" t="inlineStr">
        <is>
          <t>Atif Aslam, Shreya Ghoshal, Sachin Gupta, Sameer Anjaan</t>
        </is>
      </c>
    </row>
    <row r="36">
      <c r="A36" s="0" t="inlineStr">
        <is>
          <t>2026-03-25</t>
        </is>
      </c>
      <c r="B36" s="0" t="n">
        <v>35</v>
      </c>
      <c r="C36" s="0" t="inlineStr">
        <is>
          <t>Ishq Jalakar - Karvaan</t>
        </is>
      </c>
      <c r="D36" s="0" t="inlineStr">
        <is>
          <t>Shashwat Sachdev, Shahzad Ali, Subhadeep Das Chowdhury, Armaan Khan, Irshad Kamil, Roshan, Sahir Ludhianvi</t>
        </is>
      </c>
    </row>
    <row r="37">
      <c r="A37" s="0" t="inlineStr">
        <is>
          <t>2026-03-25</t>
        </is>
      </c>
      <c r="B37" s="0" t="n">
        <v>36</v>
      </c>
      <c r="C37" s="0" t="inlineStr">
        <is>
          <t>Aaya Sher (From "The Paradise") (Telugu)</t>
        </is>
      </c>
      <c r="D37" s="0" t="inlineStr">
        <is>
          <t>Anirudh Ravichander, Jangi Reddy, Arjun Chandy, Kasarla Shyam</t>
        </is>
      </c>
    </row>
    <row r="38">
      <c r="A38" s="0" t="inlineStr">
        <is>
          <t>2026-03-25</t>
        </is>
      </c>
      <c r="B38" s="0" t="n">
        <v>37</v>
      </c>
      <c r="C38" s="0" t="inlineStr">
        <is>
          <t>Jo Tum Mere Ho</t>
        </is>
      </c>
      <c r="D38" s="0" t="inlineStr">
        <is>
          <t>Anuv Jain</t>
        </is>
      </c>
    </row>
    <row r="39">
      <c r="A39" s="0" t="inlineStr">
        <is>
          <t>2026-03-25</t>
        </is>
      </c>
      <c r="B39" s="0" t="n">
        <v>38</v>
      </c>
      <c r="C39" s="0" t="inlineStr">
        <is>
          <t>Run Down The City - Monica</t>
        </is>
      </c>
      <c r="D39" s="0" t="inlineStr">
        <is>
          <t>Shashwat Sachdev, Reble, Asha Bhosle, R. D. Burman, Majrooh Sultanpuri</t>
        </is>
      </c>
    </row>
    <row r="40">
      <c r="A40" s="0" t="inlineStr">
        <is>
          <t>2026-03-25</t>
        </is>
      </c>
      <c r="B40" s="0" t="n">
        <v>39</v>
      </c>
      <c r="C40" s="0" t="inlineStr">
        <is>
          <t>Jogi</t>
        </is>
      </c>
      <c r="D40" s="0" t="inlineStr">
        <is>
          <t>thiarajxtt, Bir</t>
        </is>
      </c>
    </row>
    <row r="41">
      <c r="A41" s="0" t="inlineStr">
        <is>
          <t>2026-03-25</t>
        </is>
      </c>
      <c r="B41" s="0" t="n">
        <v>40</v>
      </c>
      <c r="C41" s="0" t="inlineStr">
        <is>
          <t>Haseen</t>
        </is>
      </c>
      <c r="D41" s="0" t="inlineStr">
        <is>
          <t>Talwiinder, NDS, Rippy Grewal</t>
        </is>
      </c>
    </row>
    <row r="42">
      <c r="A42" s="0" t="inlineStr">
        <is>
          <t>2026-03-25</t>
        </is>
      </c>
      <c r="B42" s="0" t="n">
        <v>41</v>
      </c>
      <c r="C42" s="0" t="inlineStr">
        <is>
          <t>Agar Tum Saath Ho (From "Tamasha")</t>
        </is>
      </c>
      <c r="D42" s="0" t="inlineStr">
        <is>
          <t>Alka Yagnik, Arijit Singh</t>
        </is>
      </c>
    </row>
    <row r="43">
      <c r="A43" s="0" t="inlineStr">
        <is>
          <t>2026-03-25</t>
        </is>
      </c>
      <c r="B43" s="0" t="n">
        <v>42</v>
      </c>
      <c r="C43" s="0" t="inlineStr">
        <is>
          <t>Tere Bina</t>
        </is>
      </c>
      <c r="D43" s="0" t="inlineStr">
        <is>
          <t>A.R. Rahman, Chinmayi, Murtuza Khan, Qadir Khan</t>
        </is>
      </c>
    </row>
    <row r="44">
      <c r="A44" s="0" t="inlineStr">
        <is>
          <t>2026-03-25</t>
        </is>
      </c>
      <c r="B44" s="0" t="n">
        <v>43</v>
      </c>
      <c r="C44" s="0" t="inlineStr">
        <is>
          <t>Barbaad (From "Saiyaara")</t>
        </is>
      </c>
      <c r="D44" s="0" t="inlineStr">
        <is>
          <t>The Rish, Jubin Nautiyal</t>
        </is>
      </c>
    </row>
    <row r="45">
      <c r="A45" s="0" t="inlineStr">
        <is>
          <t>2026-03-25</t>
        </is>
      </c>
      <c r="B45" s="0" t="n">
        <v>44</v>
      </c>
      <c r="C45" s="0" t="inlineStr">
        <is>
          <t>Not Guilty</t>
        </is>
      </c>
      <c r="D45" s="0" t="inlineStr">
        <is>
          <t>Dhanda Nyoliwala</t>
        </is>
      </c>
    </row>
    <row r="46">
      <c r="A46" s="0" t="inlineStr">
        <is>
          <t>2026-03-25</t>
        </is>
      </c>
      <c r="B46" s="0" t="n">
        <v>45</v>
      </c>
      <c r="C46" s="0" t="inlineStr">
        <is>
          <t>Mutta Kalakki (From "Youth")</t>
        </is>
      </c>
      <c r="D46" s="0" t="inlineStr">
        <is>
          <t>G. V. Prakash, Ken Karunaas</t>
        </is>
      </c>
    </row>
    <row r="47">
      <c r="A47" s="0" t="inlineStr">
        <is>
          <t>2026-03-25</t>
        </is>
      </c>
      <c r="B47" s="0" t="n">
        <v>46</v>
      </c>
      <c r="C47" s="0" t="inlineStr">
        <is>
          <t>Ehsaas</t>
        </is>
      </c>
      <c r="D47" s="0" t="inlineStr">
        <is>
          <t>Faheem Abdullah, Duha Shah, Vaibhav Pani, Hyder Dar</t>
        </is>
      </c>
    </row>
    <row r="48">
      <c r="A48" s="0" t="inlineStr">
        <is>
          <t>2026-03-25</t>
        </is>
      </c>
      <c r="B48" s="0" t="n">
        <v>47</v>
      </c>
      <c r="C48" s="0" t="inlineStr">
        <is>
          <t>Ye Tune Kya Kiya</t>
        </is>
      </c>
      <c r="D48" s="0" t="inlineStr">
        <is>
          <t>Pritam, Javed Bashir, Rajat Arora</t>
        </is>
      </c>
    </row>
    <row r="49">
      <c r="A49" s="0" t="inlineStr">
        <is>
          <t>2026-03-25</t>
        </is>
      </c>
      <c r="B49" s="0" t="n">
        <v>48</v>
      </c>
      <c r="C49" s="0" t="inlineStr">
        <is>
          <t>Thodi Si Daaru</t>
        </is>
      </c>
      <c r="D49" s="0" t="inlineStr">
        <is>
          <t>AP Dhillon, Shreya Ghoshal</t>
        </is>
      </c>
    </row>
    <row r="50">
      <c r="A50" s="0" t="inlineStr">
        <is>
          <t>2026-03-25</t>
        </is>
      </c>
      <c r="B50" s="0" t="n">
        <v>49</v>
      </c>
      <c r="C50" s="0" t="inlineStr">
        <is>
          <t>Teri Deewani</t>
        </is>
      </c>
      <c r="D50" s="0" t="inlineStr">
        <is>
          <t>Kailash Kher, Paresh Kamath, Naresh Kamath</t>
        </is>
      </c>
    </row>
    <row r="51">
      <c r="A51" s="0" t="inlineStr">
        <is>
          <t>2026-03-25</t>
        </is>
      </c>
      <c r="B51" s="0" t="n">
        <v>50</v>
      </c>
      <c r="C51" s="0" t="inlineStr">
        <is>
          <t>Mast Magan (From "2 States)</t>
        </is>
      </c>
      <c r="D51" s="0" t="inlineStr">
        <is>
          <t>Arijit Singh, Chinmayi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Date</t>
        </is>
      </c>
      <c r="B1" s="24" t="inlineStr">
        <is>
          <t>Rank</t>
        </is>
      </c>
      <c r="C1" s="24" t="inlineStr">
        <is>
          <t>Song</t>
        </is>
      </c>
      <c r="D1" s="24" t="inlineStr">
        <is>
          <t>Artist</t>
        </is>
      </c>
    </row>
    <row r="2">
      <c r="A2" s="0" t="inlineStr">
        <is>
          <t>2026-03-26</t>
        </is>
      </c>
      <c r="B2" s="0" t="n">
        <v>1</v>
      </c>
      <c r="C2" s="0" t="inlineStr">
        <is>
          <t>Bairan</t>
        </is>
      </c>
      <c r="D2" s="0" t="inlineStr">
        <is>
          <t>Banjaare</t>
        </is>
      </c>
    </row>
    <row r="3">
      <c r="A3" s="0" t="inlineStr">
        <is>
          <t>2026-03-26</t>
        </is>
      </c>
      <c r="B3" s="0" t="n">
        <v>2</v>
      </c>
      <c r="C3" s="0" t="inlineStr">
        <is>
          <t>Jaiye Sajana</t>
        </is>
      </c>
      <c r="D3" s="0" t="inlineStr">
        <is>
          <t>Shashwat Sachdev, Jasmine Sandlas, Satinder Sartaaj</t>
        </is>
      </c>
    </row>
    <row r="4">
      <c r="A4" s="0" t="inlineStr">
        <is>
          <t>2026-03-26</t>
        </is>
      </c>
      <c r="B4" s="0" t="n">
        <v>3</v>
      </c>
      <c r="C4" s="0" t="inlineStr">
        <is>
          <t>Sheesha - Aakhya Mai Aakh Ghali Jo Bairan</t>
        </is>
      </c>
      <c r="D4" s="0" t="inlineStr">
        <is>
          <t>Mitta Ror, Swara Verma</t>
        </is>
      </c>
    </row>
    <row r="5">
      <c r="A5" s="0" t="inlineStr">
        <is>
          <t>2026-03-26</t>
        </is>
      </c>
      <c r="B5" s="0" t="n">
        <v>4</v>
      </c>
      <c r="C5" s="0" t="inlineStr">
        <is>
          <t>Gehra Hua</t>
        </is>
      </c>
      <c r="D5" s="0" t="inlineStr">
        <is>
          <t>Shashwat Sachdev, Arijit Singh, Irshad Kamil, Armaan Khan</t>
        </is>
      </c>
    </row>
    <row r="6">
      <c r="A6" s="0" t="inlineStr">
        <is>
          <t>2026-03-26</t>
        </is>
      </c>
      <c r="B6" s="0" t="n">
        <v>5</v>
      </c>
      <c r="C6" s="0" t="inlineStr">
        <is>
          <t>Dhurandhar The Revenge - Aari Aari</t>
        </is>
      </c>
      <c r="D6" s="0" t="inlineStr">
        <is>
          <t>Shashwat Sachdev, Bombay Rockers, Irshad Kamil, Khan Saab, Reble, Token, Jasmine Sandlas, Sudhir Yaduvanshi</t>
        </is>
      </c>
    </row>
    <row r="7">
      <c r="A7" s="0" t="inlineStr">
        <is>
          <t>2026-03-26</t>
        </is>
      </c>
      <c r="B7" s="0" t="n">
        <v>6</v>
      </c>
      <c r="C7" s="0" t="inlineStr">
        <is>
          <t>Jaan Se Guzarte Hain</t>
        </is>
      </c>
      <c r="D7" s="0" t="inlineStr">
        <is>
          <t>Shashwat Sachdev, Khan Saab, Nusrat Fateh Ali Khan</t>
        </is>
      </c>
    </row>
    <row r="8">
      <c r="A8" s="0" t="inlineStr">
        <is>
          <t>2026-03-26</t>
        </is>
      </c>
      <c r="B8" s="0" t="n">
        <v>7</v>
      </c>
      <c r="C8" s="0" t="inlineStr">
        <is>
          <t>Khat</t>
        </is>
      </c>
      <c r="D8" s="0" t="inlineStr">
        <is>
          <t>Navjot Ahuja</t>
        </is>
      </c>
    </row>
    <row r="9">
      <c r="A9" s="0" t="inlineStr">
        <is>
          <t>2026-03-26</t>
        </is>
      </c>
      <c r="B9" s="0" t="n">
        <v>8</v>
      </c>
      <c r="C9" s="0" t="inlineStr">
        <is>
          <t>Dooron Dooron</t>
        </is>
      </c>
      <c r="D9" s="0" t="inlineStr">
        <is>
          <t>Paresh Pahuja, Shiv Tandan, Meghdeep Bose</t>
        </is>
      </c>
    </row>
    <row r="10">
      <c r="A10" s="0" t="inlineStr">
        <is>
          <t>2026-03-26</t>
        </is>
      </c>
      <c r="B10" s="0" t="n">
        <v>9</v>
      </c>
      <c r="C10" s="0" t="inlineStr">
        <is>
          <t>Sitaare (From "Ikkis")</t>
        </is>
      </c>
      <c r="D10" s="0" t="inlineStr">
        <is>
          <t>Arijit Singh, White Noise Collectives, Amitabh Bhattacharya</t>
        </is>
      </c>
    </row>
    <row r="11">
      <c r="A11" s="0" t="inlineStr">
        <is>
          <t>2026-03-26</t>
        </is>
      </c>
      <c r="B11" s="0" t="n">
        <v>10</v>
      </c>
      <c r="C11" s="0" t="inlineStr">
        <is>
          <t>Sahiba</t>
        </is>
      </c>
      <c r="D11" s="0" t="inlineStr">
        <is>
          <t>Aditya Rikhari</t>
        </is>
      </c>
    </row>
    <row r="12">
      <c r="A12" s="0" t="inlineStr">
        <is>
          <t>2026-03-26</t>
        </is>
      </c>
      <c r="B12" s="0" t="n">
        <v>11</v>
      </c>
      <c r="C12" s="0" t="inlineStr">
        <is>
          <t>Apna Bana Le</t>
        </is>
      </c>
      <c r="D12" s="0" t="inlineStr">
        <is>
          <t>Sachin-Jigar, Arijit Singh, Amitabh Bhattacharya</t>
        </is>
      </c>
    </row>
    <row r="13">
      <c r="A13" s="0" t="inlineStr">
        <is>
          <t>2026-03-26</t>
        </is>
      </c>
      <c r="B13" s="0" t="n">
        <v>12</v>
      </c>
      <c r="C13" s="0" t="inlineStr">
        <is>
          <t>Samjhawan</t>
        </is>
      </c>
      <c r="D13" s="0" t="inlineStr">
        <is>
          <t>Jawad Ahmad, Shaarib Toshi, Arijit Singh, Shreya Ghoshal</t>
        </is>
      </c>
    </row>
    <row r="14">
      <c r="A14" s="0" t="inlineStr">
        <is>
          <t>2026-03-26</t>
        </is>
      </c>
      <c r="B14" s="0" t="n">
        <v>13</v>
      </c>
      <c r="C14" s="0" t="inlineStr">
        <is>
          <t>Finding Her</t>
        </is>
      </c>
      <c r="D14" s="0" t="inlineStr">
        <is>
          <t>Kushagra, Bharath, Saaheal</t>
        </is>
      </c>
    </row>
    <row r="15">
      <c r="A15" s="0" t="inlineStr">
        <is>
          <t>2026-03-26</t>
        </is>
      </c>
      <c r="B15" s="0" t="n">
        <v>14</v>
      </c>
      <c r="C15" s="0" t="inlineStr">
        <is>
          <t>Shararat</t>
        </is>
      </c>
      <c r="D15" s="0" t="inlineStr">
        <is>
          <t>Shashwat Sachdev, Madhubanti Bagchi, Jasmine Sandlas</t>
        </is>
      </c>
    </row>
    <row r="16">
      <c r="A16" s="0" t="inlineStr">
        <is>
          <t>2026-03-26</t>
        </is>
      </c>
      <c r="B16" s="0" t="n">
        <v>15</v>
      </c>
      <c r="C16" s="0" t="inlineStr">
        <is>
          <t>Dhurandhar - Title Track</t>
        </is>
      </c>
      <c r="D16" s="0" t="inlineStr">
        <is>
          <t>Shashwat Sachdev, Hanumankind, Jasmine Sandlas, Sudhir Yaduvanshi, Charanjit Ahuja, Muhammad Sadiq, Ranjit Kaur, Babu Singh Maan</t>
        </is>
      </c>
    </row>
    <row r="17">
      <c r="A17" s="0" t="inlineStr">
        <is>
          <t>2026-03-26</t>
        </is>
      </c>
      <c r="B17" s="0" t="n">
        <v>16</v>
      </c>
      <c r="C17" s="0" t="inlineStr">
        <is>
          <t>Arz Kiya Hai | Coke Studio Bharat</t>
        </is>
      </c>
      <c r="D17" s="0" t="inlineStr">
        <is>
          <t>Anuv Jain</t>
        </is>
      </c>
    </row>
    <row r="18">
      <c r="A18" s="0" t="inlineStr">
        <is>
          <t>2026-03-26</t>
        </is>
      </c>
      <c r="B18" s="0" t="n">
        <v>17</v>
      </c>
      <c r="C18" s="0" t="inlineStr">
        <is>
          <t>Pavazha Malli - From "Think Indie"</t>
        </is>
      </c>
      <c r="D18" s="0" t="inlineStr">
        <is>
          <t>Sai Abhyankkar, Shruti Haasan, Vivek</t>
        </is>
      </c>
    </row>
    <row r="19">
      <c r="A19" s="0" t="inlineStr">
        <is>
          <t>2026-03-26</t>
        </is>
      </c>
      <c r="B19" s="0" t="n">
        <v>18</v>
      </c>
      <c r="C19" s="0" t="inlineStr">
        <is>
          <t>Ishq</t>
        </is>
      </c>
      <c r="D19" s="0" t="inlineStr">
        <is>
          <t>Faheem Abdullah, Rauhan Malik, Amir Ameer</t>
        </is>
      </c>
    </row>
    <row r="20">
      <c r="A20" s="0" t="inlineStr">
        <is>
          <t>2026-03-26</t>
        </is>
      </c>
      <c r="B20" s="0" t="n">
        <v>19</v>
      </c>
      <c r="C20" s="0" t="inlineStr">
        <is>
          <t>Mann Mera</t>
        </is>
      </c>
      <c r="D20" s="0" t="inlineStr">
        <is>
          <t>Gajendra Verma</t>
        </is>
      </c>
    </row>
    <row r="21">
      <c r="A21" s="0" t="inlineStr">
        <is>
          <t>2026-03-26</t>
        </is>
      </c>
      <c r="B21" s="0" t="n">
        <v>20</v>
      </c>
      <c r="C21" s="0" t="inlineStr">
        <is>
          <t>For A Reason</t>
        </is>
      </c>
      <c r="D21" s="0" t="inlineStr">
        <is>
          <t>Karan Aujla, Ikky</t>
        </is>
      </c>
    </row>
    <row r="22">
      <c r="A22" s="0" t="inlineStr">
        <is>
          <t>2026-03-26</t>
        </is>
      </c>
      <c r="B22" s="0" t="n">
        <v>21</v>
      </c>
      <c r="C22" s="0" t="inlineStr">
        <is>
          <t>Boyfriend</t>
        </is>
      </c>
      <c r="D22" s="0" t="inlineStr">
        <is>
          <t>Karan Aujla, Ikky</t>
        </is>
      </c>
    </row>
    <row r="23">
      <c r="A23" s="0" t="inlineStr">
        <is>
          <t>2026-03-26</t>
        </is>
      </c>
      <c r="B23" s="0" t="n">
        <v>22</v>
      </c>
      <c r="C23" s="0" t="inlineStr">
        <is>
          <t>Phir Se</t>
        </is>
      </c>
      <c r="D23" s="0" t="inlineStr">
        <is>
          <t>Shashwat Sachdev, Arijit Singh, Irshad Kamil</t>
        </is>
      </c>
    </row>
    <row r="24">
      <c r="A24" s="0" t="inlineStr">
        <is>
          <t>2026-03-26</t>
        </is>
      </c>
      <c r="B24" s="0" t="n">
        <v>23</v>
      </c>
      <c r="C24" s="0" t="inlineStr">
        <is>
          <t>Bairi</t>
        </is>
      </c>
      <c r="D24" s="0" t="inlineStr">
        <is>
          <t>Virat, Pradeep Solanki, Heena</t>
        </is>
      </c>
    </row>
    <row r="25">
      <c r="A25" s="0" t="inlineStr">
        <is>
          <t>2026-03-26</t>
        </is>
      </c>
      <c r="B25" s="0" t="n">
        <v>24</v>
      </c>
      <c r="C25" s="0" t="inlineStr">
        <is>
          <t>Saiyaara</t>
        </is>
      </c>
      <c r="D25" s="0" t="inlineStr">
        <is>
          <t>Tanishk Bagchi, Faheem Abdullah, Arslan Nizami, Irshad Kamil</t>
        </is>
      </c>
    </row>
    <row r="26">
      <c r="A26" s="0" t="inlineStr">
        <is>
          <t>2026-03-26</t>
        </is>
      </c>
      <c r="B26" s="0" t="n">
        <v>25</v>
      </c>
      <c r="C26" s="0" t="inlineStr">
        <is>
          <t>Ishqa Ve</t>
        </is>
      </c>
      <c r="D26" s="0" t="inlineStr">
        <is>
          <t>Zeeshan Ali, Yuvraj Tung, Sandeep Aulakh, Honey Dhillon</t>
        </is>
      </c>
    </row>
    <row r="27">
      <c r="A27" s="0" t="inlineStr">
        <is>
          <t>2026-03-26</t>
        </is>
      </c>
      <c r="B27" s="0" t="n">
        <v>26</v>
      </c>
      <c r="C27" s="0" t="inlineStr">
        <is>
          <t>Naal Nachna</t>
        </is>
      </c>
      <c r="D27" s="0" t="inlineStr">
        <is>
          <t>Shashwat Sachdev, Afsana Khan, Irshad Kamil, Reble</t>
        </is>
      </c>
    </row>
    <row r="28">
      <c r="A28" s="0" t="inlineStr">
        <is>
          <t>2026-03-26</t>
        </is>
      </c>
      <c r="B28" s="0" t="n">
        <v>27</v>
      </c>
      <c r="C28" s="0" t="inlineStr">
        <is>
          <t>Main Aur Tu</t>
        </is>
      </c>
      <c r="D28" s="0" t="inlineStr">
        <is>
          <t>Jasmine Sandlas, Shashwat Sachdev, Reble</t>
        </is>
      </c>
    </row>
    <row r="29">
      <c r="A29" s="0" t="inlineStr">
        <is>
          <t>2026-03-26</t>
        </is>
      </c>
      <c r="B29" s="0" t="n">
        <v>28</v>
      </c>
      <c r="C29" s="0" t="inlineStr">
        <is>
          <t>Raanjhan (From "Do Patti")</t>
        </is>
      </c>
      <c r="D29" s="0" t="inlineStr">
        <is>
          <t>Sachet-Parampara, Parampara Tandon, Kausar Munir</t>
        </is>
      </c>
    </row>
    <row r="30">
      <c r="A30" s="0" t="inlineStr">
        <is>
          <t>2026-03-26</t>
        </is>
      </c>
      <c r="B30" s="0" t="n">
        <v>29</v>
      </c>
      <c r="C30" s="0" t="inlineStr">
        <is>
          <t>Deewaana Deewaana</t>
        </is>
      </c>
      <c r="D30" s="0" t="inlineStr">
        <is>
          <t>A.R. Rahman, Irshad Kamil</t>
        </is>
      </c>
    </row>
    <row r="31">
      <c r="A31" s="0" t="inlineStr">
        <is>
          <t>2026-03-26</t>
        </is>
      </c>
      <c r="B31" s="0" t="n">
        <v>30</v>
      </c>
      <c r="C31" s="0" t="inlineStr">
        <is>
          <t>Tere Liye</t>
        </is>
      </c>
      <c r="D31" s="0" t="inlineStr">
        <is>
          <t>Atif Aslam, Shreya Ghoshal, Sachin Gupta, Sameer Anjaan</t>
        </is>
      </c>
    </row>
    <row r="32">
      <c r="A32" s="0" t="inlineStr">
        <is>
          <t>2026-03-26</t>
        </is>
      </c>
      <c r="B32" s="0" t="n">
        <v>31</v>
      </c>
      <c r="C32" s="0" t="inlineStr">
        <is>
          <t>Lutt Le Gaya</t>
        </is>
      </c>
      <c r="D32" s="0" t="inlineStr">
        <is>
          <t>Shashwat Sachdev, Simran Choudhary</t>
        </is>
      </c>
    </row>
    <row r="33">
      <c r="A33" s="0" t="inlineStr">
        <is>
          <t>2026-03-26</t>
        </is>
      </c>
      <c r="B33" s="0" t="n">
        <v>32</v>
      </c>
      <c r="C33" s="0" t="inlineStr">
        <is>
          <t>SWIM</t>
        </is>
      </c>
      <c r="D33" s="0" t="inlineStr">
        <is>
          <t>BTS</t>
        </is>
      </c>
    </row>
    <row r="34">
      <c r="A34" s="0" t="inlineStr">
        <is>
          <t>2026-03-26</t>
        </is>
      </c>
      <c r="B34" s="0" t="n">
        <v>33</v>
      </c>
      <c r="C34" s="0" t="inlineStr">
        <is>
          <t>Jogi</t>
        </is>
      </c>
      <c r="D34" s="0" t="inlineStr">
        <is>
          <t>thiarajxtt, Bir</t>
        </is>
      </c>
    </row>
    <row r="35">
      <c r="A35" s="0" t="inlineStr">
        <is>
          <t>2026-03-26</t>
        </is>
      </c>
      <c r="B35" s="0" t="n">
        <v>34</v>
      </c>
      <c r="C35" s="0" t="inlineStr">
        <is>
          <t>Ishq Jalakar - Karvaan</t>
        </is>
      </c>
      <c r="D35" s="0" t="inlineStr">
        <is>
          <t>Shashwat Sachdev, Shahzad Ali, Subhadeep Das Chowdhury, Armaan Khan, Irshad Kamil, Roshan, Sahir Ludhianvi</t>
        </is>
      </c>
    </row>
    <row r="36">
      <c r="A36" s="0" t="inlineStr">
        <is>
          <t>2026-03-26</t>
        </is>
      </c>
      <c r="B36" s="0" t="n">
        <v>35</v>
      </c>
      <c r="C36" s="0" t="inlineStr">
        <is>
          <t>Aaya Sher (From "The Paradise") (Telugu)</t>
        </is>
      </c>
      <c r="D36" s="0" t="inlineStr">
        <is>
          <t>Anirudh Ravichander, Jangi Reddy, Arjun Chandy, Kasarla Shyam</t>
        </is>
      </c>
    </row>
    <row r="37">
      <c r="A37" s="0" t="inlineStr">
        <is>
          <t>2026-03-26</t>
        </is>
      </c>
      <c r="B37" s="0" t="n">
        <v>36</v>
      </c>
      <c r="C37" s="0" t="inlineStr">
        <is>
          <t>Tum Ho Toh (From "Saiyaara")</t>
        </is>
      </c>
      <c r="D37" s="0" t="inlineStr">
        <is>
          <t>Vishal Mishra, Hansika Pareek, Raj Shekhar</t>
        </is>
      </c>
    </row>
    <row r="38">
      <c r="A38" s="0" t="inlineStr">
        <is>
          <t>2026-03-26</t>
        </is>
      </c>
      <c r="B38" s="0" t="n">
        <v>37</v>
      </c>
      <c r="C38" s="0" t="inlineStr">
        <is>
          <t>Tere Bina</t>
        </is>
      </c>
      <c r="D38" s="0" t="inlineStr">
        <is>
          <t>A.R. Rahman, Chinmayi, Murtuza Khan, Qadir Khan</t>
        </is>
      </c>
    </row>
    <row r="39">
      <c r="A39" s="0" t="inlineStr">
        <is>
          <t>2026-03-26</t>
        </is>
      </c>
      <c r="B39" s="0" t="n">
        <v>38</v>
      </c>
      <c r="C39" s="0" t="inlineStr">
        <is>
          <t>Jo Tum Mere Ho</t>
        </is>
      </c>
      <c r="D39" s="0" t="inlineStr">
        <is>
          <t>Anuv Jain</t>
        </is>
      </c>
    </row>
    <row r="40">
      <c r="A40" s="0" t="inlineStr">
        <is>
          <t>2026-03-26</t>
        </is>
      </c>
      <c r="B40" s="0" t="n">
        <v>39</v>
      </c>
      <c r="C40" s="0" t="inlineStr">
        <is>
          <t>Agar Tum Saath Ho (From "Tamasha")</t>
        </is>
      </c>
      <c r="D40" s="0" t="inlineStr">
        <is>
          <t>Alka Yagnik, Arijit Singh</t>
        </is>
      </c>
    </row>
    <row r="41">
      <c r="A41" s="0" t="inlineStr">
        <is>
          <t>2026-03-26</t>
        </is>
      </c>
      <c r="B41" s="0" t="n">
        <v>40</v>
      </c>
      <c r="C41" s="0" t="inlineStr">
        <is>
          <t>Run Down The City - Monica</t>
        </is>
      </c>
      <c r="D41" s="0" t="inlineStr">
        <is>
          <t>Shashwat Sachdev, Reble, Asha Bhosle, R. D. Burman, Majrooh Sultanpuri</t>
        </is>
      </c>
    </row>
    <row r="42">
      <c r="A42" s="0" t="inlineStr">
        <is>
          <t>2026-03-26</t>
        </is>
      </c>
      <c r="B42" s="0" t="n">
        <v>41</v>
      </c>
      <c r="C42" s="0" t="inlineStr">
        <is>
          <t>Darkhaast</t>
        </is>
      </c>
      <c r="D42" s="0" t="inlineStr">
        <is>
          <t>Mithoon, Arijit Singh, Sunidhi Chauhan, Sayeed Quadri</t>
        </is>
      </c>
    </row>
    <row r="43">
      <c r="A43" s="0" t="inlineStr">
        <is>
          <t>2026-03-26</t>
        </is>
      </c>
      <c r="B43" s="0" t="n">
        <v>42</v>
      </c>
      <c r="C43" s="0" t="inlineStr">
        <is>
          <t>Haseen</t>
        </is>
      </c>
      <c r="D43" s="0" t="inlineStr">
        <is>
          <t>Talwiinder, NDS, Rippy Grewal</t>
        </is>
      </c>
    </row>
    <row r="44">
      <c r="A44" s="0" t="inlineStr">
        <is>
          <t>2026-03-26</t>
        </is>
      </c>
      <c r="B44" s="0" t="n">
        <v>43</v>
      </c>
      <c r="C44" s="0" t="inlineStr">
        <is>
          <t>Mutta Kalakki (From "Youth")</t>
        </is>
      </c>
      <c r="D44" s="0" t="inlineStr">
        <is>
          <t>G. V. Prakash, Ken Karunaas</t>
        </is>
      </c>
    </row>
    <row r="45">
      <c r="A45" s="0" t="inlineStr">
        <is>
          <t>2026-03-26</t>
        </is>
      </c>
      <c r="B45" s="0" t="n">
        <v>44</v>
      </c>
      <c r="C45" s="0" t="inlineStr">
        <is>
          <t>Barbaad (From "Saiyaara")</t>
        </is>
      </c>
      <c r="D45" s="0" t="inlineStr">
        <is>
          <t>The Rish, Jubin Nautiyal</t>
        </is>
      </c>
    </row>
    <row r="46">
      <c r="A46" s="0" t="inlineStr">
        <is>
          <t>2026-03-26</t>
        </is>
      </c>
      <c r="B46" s="0" t="n">
        <v>45</v>
      </c>
      <c r="C46" s="0" t="inlineStr">
        <is>
          <t>Ye Tune Kya Kiya</t>
        </is>
      </c>
      <c r="D46" s="0" t="inlineStr">
        <is>
          <t>Pritam, Javed Bashir, Rajat Arora</t>
        </is>
      </c>
    </row>
    <row r="47">
      <c r="A47" s="0" t="inlineStr">
        <is>
          <t>2026-03-26</t>
        </is>
      </c>
      <c r="B47" s="0" t="n">
        <v>46</v>
      </c>
      <c r="C47" s="0" t="inlineStr">
        <is>
          <t>Not Guilty</t>
        </is>
      </c>
      <c r="D47" s="0" t="inlineStr">
        <is>
          <t>Dhanda Nyoliwala</t>
        </is>
      </c>
    </row>
    <row r="48">
      <c r="A48" s="0" t="inlineStr">
        <is>
          <t>2026-03-26</t>
        </is>
      </c>
      <c r="B48" s="0" t="n">
        <v>47</v>
      </c>
      <c r="C48" s="0" t="inlineStr">
        <is>
          <t>Ehsaas</t>
        </is>
      </c>
      <c r="D48" s="0" t="inlineStr">
        <is>
          <t>Faheem Abdullah, Duha Shah, Vaibhav Pani, Hyder Dar</t>
        </is>
      </c>
    </row>
    <row r="49">
      <c r="A49" s="0" t="inlineStr">
        <is>
          <t>2026-03-26</t>
        </is>
      </c>
      <c r="B49" s="0" t="n">
        <v>48</v>
      </c>
      <c r="C49" s="0" t="inlineStr">
        <is>
          <t>Aakhri Ishq</t>
        </is>
      </c>
      <c r="D49" s="0" t="inlineStr">
        <is>
          <t>Shashwat Sachdev, Jubin Nautiyal, Irshad Kamil</t>
        </is>
      </c>
    </row>
    <row r="50">
      <c r="A50" s="0" t="inlineStr">
        <is>
          <t>2026-03-26</t>
        </is>
      </c>
      <c r="B50" s="0" t="n">
        <v>49</v>
      </c>
      <c r="C50" s="0" t="inlineStr">
        <is>
          <t>Teri Deewani</t>
        </is>
      </c>
      <c r="D50" s="0" t="inlineStr">
        <is>
          <t>Kailash Kher, Paresh Kamath, Naresh Kamath</t>
        </is>
      </c>
    </row>
    <row r="51">
      <c r="A51" s="0" t="inlineStr">
        <is>
          <t>2026-03-26</t>
        </is>
      </c>
      <c r="B51" s="0" t="n">
        <v>50</v>
      </c>
      <c r="C51" s="0" t="inlineStr">
        <is>
          <t>Hum Pyaar Karne Wale</t>
        </is>
      </c>
      <c r="D51" s="0" t="inlineStr">
        <is>
          <t>Shashwat Sachdev, Anuradha Paudwal, Udit Narayan, Anand-Milind, Sameer Anjaan, Qveen Herby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Date</t>
        </is>
      </c>
      <c r="B1" s="24" t="inlineStr">
        <is>
          <t>Rank</t>
        </is>
      </c>
      <c r="C1" s="24" t="inlineStr">
        <is>
          <t>Song</t>
        </is>
      </c>
      <c r="D1" s="24" t="inlineStr">
        <is>
          <t>Artist</t>
        </is>
      </c>
    </row>
    <row r="2">
      <c r="A2" s="0" t="inlineStr">
        <is>
          <t>2026-03-27</t>
        </is>
      </c>
      <c r="B2" s="0" t="n">
        <v>1</v>
      </c>
      <c r="C2" s="0" t="inlineStr">
        <is>
          <t>Bairan</t>
        </is>
      </c>
      <c r="D2" s="0" t="inlineStr">
        <is>
          <t>Banjaare</t>
        </is>
      </c>
    </row>
    <row r="3">
      <c r="A3" s="0" t="inlineStr">
        <is>
          <t>2026-03-27</t>
        </is>
      </c>
      <c r="B3" s="0" t="n">
        <v>2</v>
      </c>
      <c r="C3" s="0" t="inlineStr">
        <is>
          <t>Jaiye Sajana</t>
        </is>
      </c>
      <c r="D3" s="0" t="inlineStr">
        <is>
          <t>Shashwat Sachdev, Jasmine Sandlas, Satinder Sartaaj</t>
        </is>
      </c>
    </row>
    <row r="4">
      <c r="A4" s="0" t="inlineStr">
        <is>
          <t>2026-03-27</t>
        </is>
      </c>
      <c r="B4" s="0" t="n">
        <v>3</v>
      </c>
      <c r="C4" s="0" t="inlineStr">
        <is>
          <t>Sheesha - Aakhya Mai Aakh Ghali Jo Bairan</t>
        </is>
      </c>
      <c r="D4" s="0" t="inlineStr">
        <is>
          <t>Mitta Ror, Swara Verma</t>
        </is>
      </c>
    </row>
    <row r="5">
      <c r="A5" s="0" t="inlineStr">
        <is>
          <t>2026-03-27</t>
        </is>
      </c>
      <c r="B5" s="0" t="n">
        <v>4</v>
      </c>
      <c r="C5" s="0" t="inlineStr">
        <is>
          <t>Gehra Hua</t>
        </is>
      </c>
      <c r="D5" s="0" t="inlineStr">
        <is>
          <t>Shashwat Sachdev, Arijit Singh, Irshad Kamil, Armaan Khan</t>
        </is>
      </c>
    </row>
    <row r="6">
      <c r="A6" s="0" t="inlineStr">
        <is>
          <t>2026-03-27</t>
        </is>
      </c>
      <c r="B6" s="0" t="n">
        <v>5</v>
      </c>
      <c r="C6" s="0" t="inlineStr">
        <is>
          <t>Dhurandhar The Revenge - Aari Aari</t>
        </is>
      </c>
      <c r="D6" s="0" t="inlineStr">
        <is>
          <t>Shashwat Sachdev, Bombay Rockers, Irshad Kamil, Khan Saab, Reble, Token, Jasmine Sandlas, Sudhir Yaduvanshi</t>
        </is>
      </c>
    </row>
    <row r="7">
      <c r="A7" s="0" t="inlineStr">
        <is>
          <t>2026-03-27</t>
        </is>
      </c>
      <c r="B7" s="0" t="n">
        <v>6</v>
      </c>
      <c r="C7" s="0" t="inlineStr">
        <is>
          <t>Jaan Se Guzarte Hain</t>
        </is>
      </c>
      <c r="D7" s="0" t="inlineStr">
        <is>
          <t>Shashwat Sachdev, Khan Saab, Nusrat Fateh Ali Khan</t>
        </is>
      </c>
    </row>
    <row r="8">
      <c r="A8" s="0" t="inlineStr">
        <is>
          <t>2026-03-27</t>
        </is>
      </c>
      <c r="B8" s="0" t="n">
        <v>7</v>
      </c>
      <c r="C8" s="0" t="inlineStr">
        <is>
          <t>Khat</t>
        </is>
      </c>
      <c r="D8" s="0" t="inlineStr">
        <is>
          <t>Navjot Ahuja</t>
        </is>
      </c>
    </row>
    <row r="9">
      <c r="A9" s="0" t="inlineStr">
        <is>
          <t>2026-03-27</t>
        </is>
      </c>
      <c r="B9" s="0" t="n">
        <v>8</v>
      </c>
      <c r="C9" s="0" t="inlineStr">
        <is>
          <t>Sitaare (From "Ikkis")</t>
        </is>
      </c>
      <c r="D9" s="0" t="inlineStr">
        <is>
          <t>Arijit Singh, White Noise Collectives, Amitabh Bhattacharya</t>
        </is>
      </c>
    </row>
    <row r="10">
      <c r="A10" s="0" t="inlineStr">
        <is>
          <t>2026-03-27</t>
        </is>
      </c>
      <c r="B10" s="0" t="n">
        <v>9</v>
      </c>
      <c r="C10" s="0" t="inlineStr">
        <is>
          <t>Dooron Dooron</t>
        </is>
      </c>
      <c r="D10" s="0" t="inlineStr">
        <is>
          <t>Paresh Pahuja, Shiv Tandan, Meghdeep Bose</t>
        </is>
      </c>
    </row>
    <row r="11">
      <c r="A11" s="0" t="inlineStr">
        <is>
          <t>2026-03-27</t>
        </is>
      </c>
      <c r="B11" s="0" t="n">
        <v>10</v>
      </c>
      <c r="C11" s="0" t="inlineStr">
        <is>
          <t>Sahiba</t>
        </is>
      </c>
      <c r="D11" s="0" t="inlineStr">
        <is>
          <t>Aditya Rikhari</t>
        </is>
      </c>
    </row>
    <row r="12">
      <c r="A12" s="0" t="inlineStr">
        <is>
          <t>2026-03-27</t>
        </is>
      </c>
      <c r="B12" s="0" t="n">
        <v>11</v>
      </c>
      <c r="C12" s="0" t="inlineStr">
        <is>
          <t>Apna Bana Le</t>
        </is>
      </c>
      <c r="D12" s="0" t="inlineStr">
        <is>
          <t>Sachin-Jigar, Arijit Singh, Amitabh Bhattacharya</t>
        </is>
      </c>
    </row>
    <row r="13">
      <c r="A13" s="0" t="inlineStr">
        <is>
          <t>2026-03-27</t>
        </is>
      </c>
      <c r="B13" s="0" t="n">
        <v>12</v>
      </c>
      <c r="C13" s="0" t="inlineStr">
        <is>
          <t>Shararat</t>
        </is>
      </c>
      <c r="D13" s="0" t="inlineStr">
        <is>
          <t>Shashwat Sachdev, Madhubanti Bagchi, Jasmine Sandlas</t>
        </is>
      </c>
    </row>
    <row r="14">
      <c r="A14" s="0" t="inlineStr">
        <is>
          <t>2026-03-27</t>
        </is>
      </c>
      <c r="B14" s="0" t="n">
        <v>13</v>
      </c>
      <c r="C14" s="0" t="inlineStr">
        <is>
          <t>Samjhawan</t>
        </is>
      </c>
      <c r="D14" s="0" t="inlineStr">
        <is>
          <t>Jawad Ahmad, Shaarib Toshi, Arijit Singh, Shreya Ghoshal</t>
        </is>
      </c>
    </row>
    <row r="15">
      <c r="A15" s="0" t="inlineStr">
        <is>
          <t>2026-03-27</t>
        </is>
      </c>
      <c r="B15" s="0" t="n">
        <v>14</v>
      </c>
      <c r="C15" s="0" t="inlineStr">
        <is>
          <t>Finding Her</t>
        </is>
      </c>
      <c r="D15" s="0" t="inlineStr">
        <is>
          <t>Kushagra, Bharath, Saaheal</t>
        </is>
      </c>
    </row>
    <row r="16">
      <c r="A16" s="0" t="inlineStr">
        <is>
          <t>2026-03-27</t>
        </is>
      </c>
      <c r="B16" s="0" t="n">
        <v>15</v>
      </c>
      <c r="C16" s="0" t="inlineStr">
        <is>
          <t>Dhurandhar - Title Track</t>
        </is>
      </c>
      <c r="D16" s="0" t="inlineStr">
        <is>
          <t>Shashwat Sachdev, Hanumankind, Jasmine Sandlas, Sudhir Yaduvanshi, Charanjit Ahuja, Muhammad Sadiq, Ranjit Kaur, Babu Singh Maan</t>
        </is>
      </c>
    </row>
    <row r="17">
      <c r="A17" s="0" t="inlineStr">
        <is>
          <t>2026-03-27</t>
        </is>
      </c>
      <c r="B17" s="0" t="n">
        <v>16</v>
      </c>
      <c r="C17" s="0" t="inlineStr">
        <is>
          <t>Arz Kiya Hai | Coke Studio Bharat</t>
        </is>
      </c>
      <c r="D17" s="0" t="inlineStr">
        <is>
          <t>Anuv Jain</t>
        </is>
      </c>
    </row>
    <row r="18">
      <c r="A18" s="0" t="inlineStr">
        <is>
          <t>2026-03-27</t>
        </is>
      </c>
      <c r="B18" s="0" t="n">
        <v>17</v>
      </c>
      <c r="C18" s="0" t="inlineStr">
        <is>
          <t>Pavazha Malli - From "Think Indie"</t>
        </is>
      </c>
      <c r="D18" s="0" t="inlineStr">
        <is>
          <t>Sai Abhyankkar, Shruti Haasan, Vivek</t>
        </is>
      </c>
    </row>
    <row r="19">
      <c r="A19" s="0" t="inlineStr">
        <is>
          <t>2026-03-27</t>
        </is>
      </c>
      <c r="B19" s="0" t="n">
        <v>18</v>
      </c>
      <c r="C19" s="0" t="inlineStr">
        <is>
          <t>Boyfriend</t>
        </is>
      </c>
      <c r="D19" s="0" t="inlineStr">
        <is>
          <t>Karan Aujla, Ikky</t>
        </is>
      </c>
    </row>
    <row r="20">
      <c r="A20" s="0" t="inlineStr">
        <is>
          <t>2026-03-27</t>
        </is>
      </c>
      <c r="B20" s="0" t="n">
        <v>19</v>
      </c>
      <c r="C20" s="0" t="inlineStr">
        <is>
          <t>Ishq</t>
        </is>
      </c>
      <c r="D20" s="0" t="inlineStr">
        <is>
          <t>Faheem Abdullah, Rauhan Malik, Amir Ameer</t>
        </is>
      </c>
    </row>
    <row r="21">
      <c r="A21" s="0" t="inlineStr">
        <is>
          <t>2026-03-27</t>
        </is>
      </c>
      <c r="B21" s="0" t="n">
        <v>20</v>
      </c>
      <c r="C21" s="0" t="inlineStr">
        <is>
          <t>For A Reason</t>
        </is>
      </c>
      <c r="D21" s="0" t="inlineStr">
        <is>
          <t>Karan Aujla, Ikky</t>
        </is>
      </c>
    </row>
    <row r="22">
      <c r="A22" s="0" t="inlineStr">
        <is>
          <t>2026-03-27</t>
        </is>
      </c>
      <c r="B22" s="0" t="n">
        <v>21</v>
      </c>
      <c r="C22" s="0" t="inlineStr">
        <is>
          <t>Naal Nachna</t>
        </is>
      </c>
      <c r="D22" s="0" t="inlineStr">
        <is>
          <t>Shashwat Sachdev, Afsana Khan, Irshad Kamil, Reble</t>
        </is>
      </c>
    </row>
    <row r="23">
      <c r="A23" s="0" t="inlineStr">
        <is>
          <t>2026-03-27</t>
        </is>
      </c>
      <c r="B23" s="0" t="n">
        <v>22</v>
      </c>
      <c r="C23" s="0" t="inlineStr">
        <is>
          <t>Bairi</t>
        </is>
      </c>
      <c r="D23" s="0" t="inlineStr">
        <is>
          <t>Virat, Pradeep Solanki, Heena</t>
        </is>
      </c>
    </row>
    <row r="24">
      <c r="A24" s="0" t="inlineStr">
        <is>
          <t>2026-03-27</t>
        </is>
      </c>
      <c r="B24" s="0" t="n">
        <v>23</v>
      </c>
      <c r="C24" s="0" t="inlineStr">
        <is>
          <t>Mann Mera</t>
        </is>
      </c>
      <c r="D24" s="0" t="inlineStr">
        <is>
          <t>Gajendra Verma</t>
        </is>
      </c>
    </row>
    <row r="25">
      <c r="A25" s="0" t="inlineStr">
        <is>
          <t>2026-03-27</t>
        </is>
      </c>
      <c r="B25" s="0" t="n">
        <v>24</v>
      </c>
      <c r="C25" s="0" t="inlineStr">
        <is>
          <t>Saiyaara</t>
        </is>
      </c>
      <c r="D25" s="0" t="inlineStr">
        <is>
          <t>Tanishk Bagchi, Faheem Abdullah, Arslan Nizami, Irshad Kamil</t>
        </is>
      </c>
    </row>
    <row r="26">
      <c r="A26" s="0" t="inlineStr">
        <is>
          <t>2026-03-27</t>
        </is>
      </c>
      <c r="B26" s="0" t="n">
        <v>25</v>
      </c>
      <c r="C26" s="0" t="inlineStr">
        <is>
          <t>Ishqa Ve</t>
        </is>
      </c>
      <c r="D26" s="0" t="inlineStr">
        <is>
          <t>Zeeshan Ali, Yuvraj Tung, Sandeep Aulakh, Honey Dhillon</t>
        </is>
      </c>
    </row>
    <row r="27">
      <c r="A27" s="0" t="inlineStr">
        <is>
          <t>2026-03-27</t>
        </is>
      </c>
      <c r="B27" s="0" t="n">
        <v>26</v>
      </c>
      <c r="C27" s="0" t="inlineStr">
        <is>
          <t>Tere Liye</t>
        </is>
      </c>
      <c r="D27" s="0" t="inlineStr">
        <is>
          <t>Atif Aslam, Shreya Ghoshal, Sachin Gupta, Sameer Anjaan</t>
        </is>
      </c>
    </row>
    <row r="28">
      <c r="A28" s="0" t="inlineStr">
        <is>
          <t>2026-03-27</t>
        </is>
      </c>
      <c r="B28" s="0" t="n">
        <v>27</v>
      </c>
      <c r="C28" s="0" t="inlineStr">
        <is>
          <t>Deewaana Deewaana</t>
        </is>
      </c>
      <c r="D28" s="0" t="inlineStr">
        <is>
          <t>A.R. Rahman, Irshad Kamil</t>
        </is>
      </c>
    </row>
    <row r="29">
      <c r="A29" s="0" t="inlineStr">
        <is>
          <t>2026-03-27</t>
        </is>
      </c>
      <c r="B29" s="0" t="n">
        <v>28</v>
      </c>
      <c r="C29" s="0" t="inlineStr">
        <is>
          <t>Phir Se</t>
        </is>
      </c>
      <c r="D29" s="0" t="inlineStr">
        <is>
          <t>Shashwat Sachdev, Arijit Singh, Irshad Kamil</t>
        </is>
      </c>
    </row>
    <row r="30">
      <c r="A30" s="0" t="inlineStr">
        <is>
          <t>2026-03-27</t>
        </is>
      </c>
      <c r="B30" s="0" t="n">
        <v>29</v>
      </c>
      <c r="C30" s="0" t="inlineStr">
        <is>
          <t>Raanjhan (From "Do Patti")</t>
        </is>
      </c>
      <c r="D30" s="0" t="inlineStr">
        <is>
          <t>Sachet-Parampara, Parampara Tandon, Kausar Munir</t>
        </is>
      </c>
    </row>
    <row r="31">
      <c r="A31" s="0" t="inlineStr">
        <is>
          <t>2026-03-27</t>
        </is>
      </c>
      <c r="B31" s="0" t="n">
        <v>30</v>
      </c>
      <c r="C31" s="0" t="inlineStr">
        <is>
          <t>Lutt Le Gaya</t>
        </is>
      </c>
      <c r="D31" s="0" t="inlineStr">
        <is>
          <t>Shashwat Sachdev, Simran Choudhary</t>
        </is>
      </c>
    </row>
    <row r="32">
      <c r="A32" s="0" t="inlineStr">
        <is>
          <t>2026-03-27</t>
        </is>
      </c>
      <c r="B32" s="0" t="n">
        <v>31</v>
      </c>
      <c r="C32" s="0" t="inlineStr">
        <is>
          <t>Main Aur Tu (From "Dhurandhar The Revenge")</t>
        </is>
      </c>
      <c r="D32" s="0" t="inlineStr">
        <is>
          <t>Shashwat Sachdev, Jasmine Sandlas, Reble</t>
        </is>
      </c>
    </row>
    <row r="33">
      <c r="A33" s="0" t="inlineStr">
        <is>
          <t>2026-03-27</t>
        </is>
      </c>
      <c r="B33" s="0" t="n">
        <v>32</v>
      </c>
      <c r="C33" s="0" t="inlineStr">
        <is>
          <t>Darkhaast</t>
        </is>
      </c>
      <c r="D33" s="0" t="inlineStr">
        <is>
          <t>Mithoon, Arijit Singh, Sunidhi Chauhan, Sayeed Quadri</t>
        </is>
      </c>
    </row>
    <row r="34">
      <c r="A34" s="0" t="inlineStr">
        <is>
          <t>2026-03-27</t>
        </is>
      </c>
      <c r="B34" s="0" t="n">
        <v>33</v>
      </c>
      <c r="C34" s="0" t="inlineStr">
        <is>
          <t>Run Down The City - Monica</t>
        </is>
      </c>
      <c r="D34" s="0" t="inlineStr">
        <is>
          <t>Shashwat Sachdev, Reble, Asha Bhosle, R. D. Burman, Majrooh Sultanpuri</t>
        </is>
      </c>
    </row>
    <row r="35">
      <c r="A35" s="0" t="inlineStr">
        <is>
          <t>2026-03-27</t>
        </is>
      </c>
      <c r="B35" s="0" t="n">
        <v>34</v>
      </c>
      <c r="C35" s="0" t="inlineStr">
        <is>
          <t>Tere Bina</t>
        </is>
      </c>
      <c r="D35" s="0" t="inlineStr">
        <is>
          <t>A.R. Rahman, Chinmayi, Murtuza Khan, Qadir Khan</t>
        </is>
      </c>
    </row>
    <row r="36">
      <c r="A36" s="0" t="inlineStr">
        <is>
          <t>2026-03-27</t>
        </is>
      </c>
      <c r="B36" s="0" t="n">
        <v>35</v>
      </c>
      <c r="C36" s="0" t="inlineStr">
        <is>
          <t>Tum Ho Toh (From "Saiyaara")</t>
        </is>
      </c>
      <c r="D36" s="0" t="inlineStr">
        <is>
          <t>Vishal Mishra, Hansika Pareek, Raj Shekhar</t>
        </is>
      </c>
    </row>
    <row r="37">
      <c r="A37" s="0" t="inlineStr">
        <is>
          <t>2026-03-27</t>
        </is>
      </c>
      <c r="B37" s="0" t="n">
        <v>36</v>
      </c>
      <c r="C37" s="0" t="inlineStr">
        <is>
          <t>Ishq Jalakar - Karvaan</t>
        </is>
      </c>
      <c r="D37" s="0" t="inlineStr">
        <is>
          <t>Shashwat Sachdev, Shahzad Ali, Subhadeep Das Chowdhury, Armaan Khan, Irshad Kamil, Roshan, Sahir Ludhianvi</t>
        </is>
      </c>
    </row>
    <row r="38">
      <c r="A38" s="0" t="inlineStr">
        <is>
          <t>2026-03-27</t>
        </is>
      </c>
      <c r="B38" s="0" t="n">
        <v>37</v>
      </c>
      <c r="C38" s="0" t="inlineStr">
        <is>
          <t>Jogi</t>
        </is>
      </c>
      <c r="D38" s="0" t="inlineStr">
        <is>
          <t>thiarajxtt, Bir</t>
        </is>
      </c>
    </row>
    <row r="39">
      <c r="A39" s="0" t="inlineStr">
        <is>
          <t>2026-03-27</t>
        </is>
      </c>
      <c r="B39" s="0" t="n">
        <v>38</v>
      </c>
      <c r="C39" s="0" t="inlineStr">
        <is>
          <t>Agar Tum Saath Ho (From "Tamasha")</t>
        </is>
      </c>
      <c r="D39" s="0" t="inlineStr">
        <is>
          <t>Alka Yagnik, Arijit Singh</t>
        </is>
      </c>
    </row>
    <row r="40">
      <c r="A40" s="0" t="inlineStr">
        <is>
          <t>2026-03-27</t>
        </is>
      </c>
      <c r="B40" s="0" t="n">
        <v>39</v>
      </c>
      <c r="C40" s="0" t="inlineStr">
        <is>
          <t>SWIM</t>
        </is>
      </c>
      <c r="D40" s="0" t="inlineStr">
        <is>
          <t>BTS</t>
        </is>
      </c>
    </row>
    <row r="41">
      <c r="A41" s="0" t="inlineStr">
        <is>
          <t>2026-03-27</t>
        </is>
      </c>
      <c r="B41" s="0" t="n">
        <v>40</v>
      </c>
      <c r="C41" s="0" t="inlineStr">
        <is>
          <t>Aaya Sher (From "The Paradise") (Telugu)</t>
        </is>
      </c>
      <c r="D41" s="0" t="inlineStr">
        <is>
          <t>Anirudh Ravichander, Jangi Reddy, Arjun Chandy, Kasarla Shyam</t>
        </is>
      </c>
    </row>
    <row r="42">
      <c r="A42" s="0" t="inlineStr">
        <is>
          <t>2026-03-27</t>
        </is>
      </c>
      <c r="B42" s="0" t="n">
        <v>41</v>
      </c>
      <c r="C42" s="0" t="inlineStr">
        <is>
          <t>Jo Tum Mere Ho</t>
        </is>
      </c>
      <c r="D42" s="0" t="inlineStr">
        <is>
          <t>Anuv Jain</t>
        </is>
      </c>
    </row>
    <row r="43">
      <c r="A43" s="0" t="inlineStr">
        <is>
          <t>2026-03-27</t>
        </is>
      </c>
      <c r="B43" s="0" t="n">
        <v>42</v>
      </c>
      <c r="C43" s="0" t="inlineStr">
        <is>
          <t>Mutta Kalakki (From "Youth")</t>
        </is>
      </c>
      <c r="D43" s="0" t="inlineStr">
        <is>
          <t>G. V. Prakash, Ken Karunaas</t>
        </is>
      </c>
    </row>
    <row r="44">
      <c r="A44" s="0" t="inlineStr">
        <is>
          <t>2026-03-27</t>
        </is>
      </c>
      <c r="B44" s="0" t="n">
        <v>43</v>
      </c>
      <c r="C44" s="0" t="inlineStr">
        <is>
          <t>Ye Tune Kya Kiya</t>
        </is>
      </c>
      <c r="D44" s="0" t="inlineStr">
        <is>
          <t>Pritam, Javed Bashir, Rajat Arora</t>
        </is>
      </c>
    </row>
    <row r="45">
      <c r="A45" s="0" t="inlineStr">
        <is>
          <t>2026-03-27</t>
        </is>
      </c>
      <c r="B45" s="0" t="n">
        <v>44</v>
      </c>
      <c r="C45" s="0" t="inlineStr">
        <is>
          <t>Haseen</t>
        </is>
      </c>
      <c r="D45" s="0" t="inlineStr">
        <is>
          <t>Talwiinder, NDS, Rippy Grewal</t>
        </is>
      </c>
    </row>
    <row r="46">
      <c r="A46" s="0" t="inlineStr">
        <is>
          <t>2026-03-27</t>
        </is>
      </c>
      <c r="B46" s="0" t="n">
        <v>45</v>
      </c>
      <c r="C46" s="0" t="inlineStr">
        <is>
          <t>Not Guilty</t>
        </is>
      </c>
      <c r="D46" s="0" t="inlineStr">
        <is>
          <t>Dhanda Nyoliwala</t>
        </is>
      </c>
    </row>
    <row r="47">
      <c r="A47" s="0" t="inlineStr">
        <is>
          <t>2026-03-27</t>
        </is>
      </c>
      <c r="B47" s="0" t="n">
        <v>46</v>
      </c>
      <c r="C47" s="0" t="inlineStr">
        <is>
          <t>Ehsaas</t>
        </is>
      </c>
      <c r="D47" s="0" t="inlineStr">
        <is>
          <t>Faheem Abdullah, Duha Shah, Vaibhav Pani, Hyder Dar</t>
        </is>
      </c>
    </row>
    <row r="48">
      <c r="A48" s="0" t="inlineStr">
        <is>
          <t>2026-03-27</t>
        </is>
      </c>
      <c r="B48" s="0" t="n">
        <v>47</v>
      </c>
      <c r="C48" s="0" t="inlineStr">
        <is>
          <t>Barbaad (From "Saiyaara")</t>
        </is>
      </c>
      <c r="D48" s="0" t="inlineStr">
        <is>
          <t>The Rish, Jubin Nautiyal</t>
        </is>
      </c>
    </row>
    <row r="49">
      <c r="A49" s="0" t="inlineStr">
        <is>
          <t>2026-03-27</t>
        </is>
      </c>
      <c r="B49" s="0" t="n">
        <v>48</v>
      </c>
      <c r="C49" s="0" t="inlineStr">
        <is>
          <t>Hum Pyaar Karne Wale</t>
        </is>
      </c>
      <c r="D49" s="0" t="inlineStr">
        <is>
          <t>Shashwat Sachdev, Anuradha Paudwal, Udit Narayan, Anand-Milind, Sameer Anjaan, Qveen Herby</t>
        </is>
      </c>
    </row>
    <row r="50">
      <c r="A50" s="0" t="inlineStr">
        <is>
          <t>2026-03-27</t>
        </is>
      </c>
      <c r="B50" s="0" t="n">
        <v>49</v>
      </c>
      <c r="C50" s="0" t="inlineStr">
        <is>
          <t>Mast Magan (From "2 States)</t>
        </is>
      </c>
      <c r="D50" s="0" t="inlineStr">
        <is>
          <t>Arijit Singh, Chinmayi</t>
        </is>
      </c>
    </row>
    <row r="51">
      <c r="A51" s="0" t="inlineStr">
        <is>
          <t>2026-03-27</t>
        </is>
      </c>
      <c r="B51" s="0" t="n">
        <v>50</v>
      </c>
      <c r="C51" s="0" t="inlineStr">
        <is>
          <t>Teri Deewani</t>
        </is>
      </c>
      <c r="D51" s="0" t="inlineStr">
        <is>
          <t>Kailash Kher, Paresh Kamath, Naresh Kamath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Date</t>
        </is>
      </c>
      <c r="B1" s="24" t="inlineStr">
        <is>
          <t>Rank</t>
        </is>
      </c>
      <c r="C1" s="24" t="inlineStr">
        <is>
          <t>Song</t>
        </is>
      </c>
      <c r="D1" s="24" t="inlineStr">
        <is>
          <t>Artist</t>
        </is>
      </c>
    </row>
    <row r="2">
      <c r="A2" s="0" t="inlineStr">
        <is>
          <t>2026-03-28</t>
        </is>
      </c>
      <c r="B2" s="0" t="n">
        <v>1</v>
      </c>
      <c r="C2" s="0" t="inlineStr">
        <is>
          <t>Bairan</t>
        </is>
      </c>
      <c r="D2" s="0" t="inlineStr">
        <is>
          <t>Banjaare</t>
        </is>
      </c>
    </row>
    <row r="3">
      <c r="A3" s="0" t="inlineStr">
        <is>
          <t>2026-03-28</t>
        </is>
      </c>
      <c r="B3" s="0" t="n">
        <v>2</v>
      </c>
      <c r="C3" s="0" t="inlineStr">
        <is>
          <t>Jaiye Sajana</t>
        </is>
      </c>
      <c r="D3" s="0" t="inlineStr">
        <is>
          <t>Shashwat Sachdev, Jasmine Sandlas, Satinder Sartaaj</t>
        </is>
      </c>
    </row>
    <row r="4">
      <c r="A4" s="0" t="inlineStr">
        <is>
          <t>2026-03-28</t>
        </is>
      </c>
      <c r="B4" s="0" t="n">
        <v>3</v>
      </c>
      <c r="C4" s="0" t="inlineStr">
        <is>
          <t>Gehra Hua</t>
        </is>
      </c>
      <c r="D4" s="0" t="inlineStr">
        <is>
          <t>Shashwat Sachdev, Arijit Singh, Irshad Kamil, Armaan Khan</t>
        </is>
      </c>
    </row>
    <row r="5">
      <c r="A5" s="0" t="inlineStr">
        <is>
          <t>2026-03-28</t>
        </is>
      </c>
      <c r="B5" s="0" t="n">
        <v>4</v>
      </c>
      <c r="C5" s="0" t="inlineStr">
        <is>
          <t>Sheesha - Aakhya Mai Aakh Ghali Jo Bairan</t>
        </is>
      </c>
      <c r="D5" s="0" t="inlineStr">
        <is>
          <t>Mitta Ror, Swara Verma</t>
        </is>
      </c>
    </row>
    <row r="6">
      <c r="A6" s="0" t="inlineStr">
        <is>
          <t>2026-03-28</t>
        </is>
      </c>
      <c r="B6" s="0" t="n">
        <v>5</v>
      </c>
      <c r="C6" s="0" t="inlineStr">
        <is>
          <t>Dhurandhar The Revenge - Aari Aari</t>
        </is>
      </c>
      <c r="D6" s="0" t="inlineStr">
        <is>
          <t>Shashwat Sachdev, Bombay Rockers, Irshad Kamil, Khan Saab, Reble, Token, Jasmine Sandlas, Sudhir Yaduvanshi</t>
        </is>
      </c>
    </row>
    <row r="7">
      <c r="A7" s="0" t="inlineStr">
        <is>
          <t>2026-03-28</t>
        </is>
      </c>
      <c r="B7" s="0" t="n">
        <v>6</v>
      </c>
      <c r="C7" s="0" t="inlineStr">
        <is>
          <t>Khat</t>
        </is>
      </c>
      <c r="D7" s="0" t="inlineStr">
        <is>
          <t>Navjot Ahuja</t>
        </is>
      </c>
    </row>
    <row r="8">
      <c r="A8" s="0" t="inlineStr">
        <is>
          <t>2026-03-28</t>
        </is>
      </c>
      <c r="B8" s="0" t="n">
        <v>7</v>
      </c>
      <c r="C8" s="0" t="inlineStr">
        <is>
          <t>Jaan Se Guzarte Hain</t>
        </is>
      </c>
      <c r="D8" s="0" t="inlineStr">
        <is>
          <t>Shashwat Sachdev, Khan Saab, Nusrat Fateh Ali Khan</t>
        </is>
      </c>
    </row>
    <row r="9">
      <c r="A9" s="0" t="inlineStr">
        <is>
          <t>2026-03-28</t>
        </is>
      </c>
      <c r="B9" s="0" t="n">
        <v>8</v>
      </c>
      <c r="C9" s="0" t="inlineStr">
        <is>
          <t>Sitaare (From "Ikkis")</t>
        </is>
      </c>
      <c r="D9" s="0" t="inlineStr">
        <is>
          <t>Arijit Singh, White Noise Collectives, Amitabh Bhattacharya</t>
        </is>
      </c>
    </row>
    <row r="10">
      <c r="A10" s="0" t="inlineStr">
        <is>
          <t>2026-03-28</t>
        </is>
      </c>
      <c r="B10" s="0" t="n">
        <v>9</v>
      </c>
      <c r="C10" s="0" t="inlineStr">
        <is>
          <t>Dooron Dooron</t>
        </is>
      </c>
      <c r="D10" s="0" t="inlineStr">
        <is>
          <t>Paresh Pahuja, Shiv Tandan, Meghdeep Bose</t>
        </is>
      </c>
    </row>
    <row r="11">
      <c r="A11" s="0" t="inlineStr">
        <is>
          <t>2026-03-28</t>
        </is>
      </c>
      <c r="B11" s="0" t="n">
        <v>10</v>
      </c>
      <c r="C11" s="0" t="inlineStr">
        <is>
          <t>Sahiba</t>
        </is>
      </c>
      <c r="D11" s="0" t="inlineStr">
        <is>
          <t>Aditya Rikhari</t>
        </is>
      </c>
    </row>
    <row r="12">
      <c r="A12" s="0" t="inlineStr">
        <is>
          <t>2026-03-28</t>
        </is>
      </c>
      <c r="B12" s="0" t="n">
        <v>11</v>
      </c>
      <c r="C12" s="0" t="inlineStr">
        <is>
          <t>Shararat</t>
        </is>
      </c>
      <c r="D12" s="0" t="inlineStr">
        <is>
          <t>Shashwat Sachdev, Madhubanti Bagchi, Jasmine Sandlas</t>
        </is>
      </c>
    </row>
    <row r="13">
      <c r="A13" s="0" t="inlineStr">
        <is>
          <t>2026-03-28</t>
        </is>
      </c>
      <c r="B13" s="0" t="n">
        <v>12</v>
      </c>
      <c r="C13" s="0" t="inlineStr">
        <is>
          <t>Finding Her</t>
        </is>
      </c>
      <c r="D13" s="0" t="inlineStr">
        <is>
          <t>Kushagra, Bharath, Saaheal</t>
        </is>
      </c>
    </row>
    <row r="14">
      <c r="A14" s="0" t="inlineStr">
        <is>
          <t>2026-03-28</t>
        </is>
      </c>
      <c r="B14" s="0" t="n">
        <v>13</v>
      </c>
      <c r="C14" s="0" t="inlineStr">
        <is>
          <t>Apna Bana Le</t>
        </is>
      </c>
      <c r="D14" s="0" t="inlineStr">
        <is>
          <t>Sachin-Jigar, Arijit Singh, Amitabh Bhattacharya</t>
        </is>
      </c>
    </row>
    <row r="15">
      <c r="A15" s="0" t="inlineStr">
        <is>
          <t>2026-03-28</t>
        </is>
      </c>
      <c r="B15" s="0" t="n">
        <v>14</v>
      </c>
      <c r="C15" s="0" t="inlineStr">
        <is>
          <t>Samjhawan</t>
        </is>
      </c>
      <c r="D15" s="0" t="inlineStr">
        <is>
          <t>Jawad Ahmad, Shaarib Toshi, Arijit Singh, Shreya Ghoshal</t>
        </is>
      </c>
    </row>
    <row r="16">
      <c r="A16" s="0" t="inlineStr">
        <is>
          <t>2026-03-28</t>
        </is>
      </c>
      <c r="B16" s="0" t="n">
        <v>15</v>
      </c>
      <c r="C16" s="0" t="inlineStr">
        <is>
          <t>Dhurandhar - Title Track</t>
        </is>
      </c>
      <c r="D16" s="0" t="inlineStr">
        <is>
          <t>Shashwat Sachdev, Hanumankind, Jasmine Sandlas, Sudhir Yaduvanshi, Charanjit Ahuja, Muhammad Sadiq, Ranjit Kaur, Babu Singh Maan</t>
        </is>
      </c>
    </row>
    <row r="17">
      <c r="A17" s="0" t="inlineStr">
        <is>
          <t>2026-03-28</t>
        </is>
      </c>
      <c r="B17" s="0" t="n">
        <v>16</v>
      </c>
      <c r="C17" s="0" t="inlineStr">
        <is>
          <t>Pavazha Malli - From "Think Indie"</t>
        </is>
      </c>
      <c r="D17" s="0" t="inlineStr">
        <is>
          <t>Sai Abhyankkar, Shruti Haasan, Vivek</t>
        </is>
      </c>
    </row>
    <row r="18">
      <c r="A18" s="0" t="inlineStr">
        <is>
          <t>2026-03-28</t>
        </is>
      </c>
      <c r="B18" s="0" t="n">
        <v>17</v>
      </c>
      <c r="C18" s="0" t="inlineStr">
        <is>
          <t>Ishq</t>
        </is>
      </c>
      <c r="D18" s="0" t="inlineStr">
        <is>
          <t>Faheem Abdullah, Rauhan Malik, Amir Ameer</t>
        </is>
      </c>
    </row>
    <row r="19">
      <c r="A19" s="0" t="inlineStr">
        <is>
          <t>2026-03-28</t>
        </is>
      </c>
      <c r="B19" s="0" t="n">
        <v>18</v>
      </c>
      <c r="C19" s="0" t="inlineStr">
        <is>
          <t>Arz Kiya Hai | Coke Studio Bharat</t>
        </is>
      </c>
      <c r="D19" s="0" t="inlineStr">
        <is>
          <t>Anuv Jain</t>
        </is>
      </c>
    </row>
    <row r="20">
      <c r="A20" s="0" t="inlineStr">
        <is>
          <t>2026-03-28</t>
        </is>
      </c>
      <c r="B20" s="0" t="n">
        <v>19</v>
      </c>
      <c r="C20" s="0" t="inlineStr">
        <is>
          <t>For A Reason</t>
        </is>
      </c>
      <c r="D20" s="0" t="inlineStr">
        <is>
          <t>Karan Aujla, Ikky</t>
        </is>
      </c>
    </row>
    <row r="21">
      <c r="A21" s="0" t="inlineStr">
        <is>
          <t>2026-03-28</t>
        </is>
      </c>
      <c r="B21" s="0" t="n">
        <v>20</v>
      </c>
      <c r="C21" s="0" t="inlineStr">
        <is>
          <t>Boyfriend</t>
        </is>
      </c>
      <c r="D21" s="0" t="inlineStr">
        <is>
          <t>Karan Aujla, Ikky</t>
        </is>
      </c>
    </row>
    <row r="22">
      <c r="A22" s="0" t="inlineStr">
        <is>
          <t>2026-03-28</t>
        </is>
      </c>
      <c r="B22" s="0" t="n">
        <v>21</v>
      </c>
      <c r="C22" s="0" t="inlineStr">
        <is>
          <t>Mann Mera</t>
        </is>
      </c>
      <c r="D22" s="0" t="inlineStr">
        <is>
          <t>Gajendra Verma</t>
        </is>
      </c>
    </row>
    <row r="23">
      <c r="A23" s="0" t="inlineStr">
        <is>
          <t>2026-03-28</t>
        </is>
      </c>
      <c r="B23" s="0" t="n">
        <v>22</v>
      </c>
      <c r="C23" s="0" t="inlineStr">
        <is>
          <t>Naal Nachna</t>
        </is>
      </c>
      <c r="D23" s="0" t="inlineStr">
        <is>
          <t>Shashwat Sachdev, Afsana Khan, Irshad Kamil, Reble</t>
        </is>
      </c>
    </row>
    <row r="24">
      <c r="A24" s="0" t="inlineStr">
        <is>
          <t>2026-03-28</t>
        </is>
      </c>
      <c r="B24" s="0" t="n">
        <v>23</v>
      </c>
      <c r="C24" s="0" t="inlineStr">
        <is>
          <t>Bairi</t>
        </is>
      </c>
      <c r="D24" s="0" t="inlineStr">
        <is>
          <t>Virat, Pradeep Solanki, Heena</t>
        </is>
      </c>
    </row>
    <row r="25">
      <c r="A25" s="0" t="inlineStr">
        <is>
          <t>2026-03-28</t>
        </is>
      </c>
      <c r="B25" s="0" t="n">
        <v>24</v>
      </c>
      <c r="C25" s="0" t="inlineStr">
        <is>
          <t>Saiyaara</t>
        </is>
      </c>
      <c r="D25" s="0" t="inlineStr">
        <is>
          <t>Tanishk Bagchi, Faheem Abdullah, Arslan Nizami, Irshad Kamil</t>
        </is>
      </c>
    </row>
    <row r="26">
      <c r="A26" s="0" t="inlineStr">
        <is>
          <t>2026-03-28</t>
        </is>
      </c>
      <c r="B26" s="0" t="n">
        <v>25</v>
      </c>
      <c r="C26" s="0" t="inlineStr">
        <is>
          <t>Phir Se</t>
        </is>
      </c>
      <c r="D26" s="0" t="inlineStr">
        <is>
          <t>Shashwat Sachdev, Arijit Singh, Irshad Kamil</t>
        </is>
      </c>
    </row>
    <row r="27">
      <c r="A27" s="0" t="inlineStr">
        <is>
          <t>2026-03-28</t>
        </is>
      </c>
      <c r="B27" s="0" t="n">
        <v>26</v>
      </c>
      <c r="C27" s="0" t="inlineStr">
        <is>
          <t>Ishqa Ve</t>
        </is>
      </c>
      <c r="D27" s="0" t="inlineStr">
        <is>
          <t>Zeeshan Ali, Yuvraj Tung, Sandeep Aulakh, Honey Dhillon</t>
        </is>
      </c>
    </row>
    <row r="28">
      <c r="A28" s="0" t="inlineStr">
        <is>
          <t>2026-03-28</t>
        </is>
      </c>
      <c r="B28" s="0" t="n">
        <v>27</v>
      </c>
      <c r="C28" s="0" t="inlineStr">
        <is>
          <t>Tere Liye</t>
        </is>
      </c>
      <c r="D28" s="0" t="inlineStr">
        <is>
          <t>Atif Aslam, Shreya Ghoshal, Sachin Gupta, Sameer Anjaan</t>
        </is>
      </c>
    </row>
    <row r="29">
      <c r="A29" s="0" t="inlineStr">
        <is>
          <t>2026-03-28</t>
        </is>
      </c>
      <c r="B29" s="0" t="n">
        <v>28</v>
      </c>
      <c r="C29" s="0" t="inlineStr">
        <is>
          <t>Deewaana Deewaana</t>
        </is>
      </c>
      <c r="D29" s="0" t="inlineStr">
        <is>
          <t>A.R. Rahman, Irshad Kamil</t>
        </is>
      </c>
    </row>
    <row r="30">
      <c r="A30" s="0" t="inlineStr">
        <is>
          <t>2026-03-28</t>
        </is>
      </c>
      <c r="B30" s="0" t="n">
        <v>29</v>
      </c>
      <c r="C30" s="0" t="inlineStr">
        <is>
          <t>Lutt Le Gaya</t>
        </is>
      </c>
      <c r="D30" s="0" t="inlineStr">
        <is>
          <t>Shashwat Sachdev, Simran Choudhary</t>
        </is>
      </c>
    </row>
    <row r="31">
      <c r="A31" s="0" t="inlineStr">
        <is>
          <t>2026-03-28</t>
        </is>
      </c>
      <c r="B31" s="0" t="n">
        <v>30</v>
      </c>
      <c r="C31" s="0" t="inlineStr">
        <is>
          <t>Main Aur Tu (From "Dhurandhar The Revenge")</t>
        </is>
      </c>
      <c r="D31" s="0" t="inlineStr">
        <is>
          <t>Shashwat Sachdev, Jasmine Sandlas, Reble</t>
        </is>
      </c>
    </row>
    <row r="32">
      <c r="A32" s="0" t="inlineStr">
        <is>
          <t>2026-03-28</t>
        </is>
      </c>
      <c r="B32" s="0" t="n">
        <v>31</v>
      </c>
      <c r="C32" s="0" t="inlineStr">
        <is>
          <t>Raanjhan (From "Do Patti")</t>
        </is>
      </c>
      <c r="D32" s="0" t="inlineStr">
        <is>
          <t>Sachet-Parampara, Parampara Tandon, Kausar Munir</t>
        </is>
      </c>
    </row>
    <row r="33">
      <c r="A33" s="0" t="inlineStr">
        <is>
          <t>2026-03-28</t>
        </is>
      </c>
      <c r="B33" s="0" t="n">
        <v>32</v>
      </c>
      <c r="C33" s="0" t="inlineStr">
        <is>
          <t>Ishq Jalakar - Karvaan</t>
        </is>
      </c>
      <c r="D33" s="0" t="inlineStr">
        <is>
          <t>Shashwat Sachdev, Shahzad Ali, Subhadeep Das Chowdhury, Armaan Khan, Irshad Kamil, Roshan, Sahir Ludhianvi</t>
        </is>
      </c>
    </row>
    <row r="34">
      <c r="A34" s="0" t="inlineStr">
        <is>
          <t>2026-03-28</t>
        </is>
      </c>
      <c r="B34" s="0" t="n">
        <v>33</v>
      </c>
      <c r="C34" s="0" t="inlineStr">
        <is>
          <t>Run Down The City - Monica</t>
        </is>
      </c>
      <c r="D34" s="0" t="inlineStr">
        <is>
          <t>Shashwat Sachdev, Reble, Asha Bhosle, R. D. Burman, Majrooh Sultanpuri</t>
        </is>
      </c>
    </row>
    <row r="35">
      <c r="A35" s="0" t="inlineStr">
        <is>
          <t>2026-03-28</t>
        </is>
      </c>
      <c r="B35" s="0" t="n">
        <v>34</v>
      </c>
      <c r="C35" s="0" t="inlineStr">
        <is>
          <t>Tum Ho Toh (From "Saiyaara")</t>
        </is>
      </c>
      <c r="D35" s="0" t="inlineStr">
        <is>
          <t>Vishal Mishra, Hansika Pareek, Raj Shekhar</t>
        </is>
      </c>
    </row>
    <row r="36">
      <c r="A36" s="0" t="inlineStr">
        <is>
          <t>2026-03-28</t>
        </is>
      </c>
      <c r="B36" s="0" t="n">
        <v>35</v>
      </c>
      <c r="C36" s="0" t="inlineStr">
        <is>
          <t>Darkhaast</t>
        </is>
      </c>
      <c r="D36" s="0" t="inlineStr">
        <is>
          <t>Mithoon, Arijit Singh, Sunidhi Chauhan, Sayeed Quadri</t>
        </is>
      </c>
    </row>
    <row r="37">
      <c r="A37" s="0" t="inlineStr">
        <is>
          <t>2026-03-28</t>
        </is>
      </c>
      <c r="B37" s="0" t="n">
        <v>36</v>
      </c>
      <c r="C37" s="0" t="inlineStr">
        <is>
          <t>Agar Tum Saath Ho (From "Tamasha")</t>
        </is>
      </c>
      <c r="D37" s="0" t="inlineStr">
        <is>
          <t>Alka Yagnik, Arijit Singh</t>
        </is>
      </c>
    </row>
    <row r="38">
      <c r="A38" s="0" t="inlineStr">
        <is>
          <t>2026-03-28</t>
        </is>
      </c>
      <c r="B38" s="0" t="n">
        <v>37</v>
      </c>
      <c r="C38" s="0" t="inlineStr">
        <is>
          <t>Tere Bina</t>
        </is>
      </c>
      <c r="D38" s="0" t="inlineStr">
        <is>
          <t>A.R. Rahman, Chinmayi, Murtuza Khan, Qadir Khan</t>
        </is>
      </c>
    </row>
    <row r="39">
      <c r="A39" s="0" t="inlineStr">
        <is>
          <t>2026-03-28</t>
        </is>
      </c>
      <c r="B39" s="0" t="n">
        <v>38</v>
      </c>
      <c r="C39" s="0" t="inlineStr">
        <is>
          <t>Jo Tum Mere Ho</t>
        </is>
      </c>
      <c r="D39" s="0" t="inlineStr">
        <is>
          <t>Anuv Jain</t>
        </is>
      </c>
    </row>
    <row r="40">
      <c r="A40" s="0" t="inlineStr">
        <is>
          <t>2026-03-28</t>
        </is>
      </c>
      <c r="B40" s="0" t="n">
        <v>39</v>
      </c>
      <c r="C40" s="0" t="inlineStr">
        <is>
          <t>Aaya Sher (From "The Paradise") (Telugu)</t>
        </is>
      </c>
      <c r="D40" s="0" t="inlineStr">
        <is>
          <t>Anirudh Ravichander, Jangi Reddy, Arjun Chandy, Kasarla Shyam</t>
        </is>
      </c>
    </row>
    <row r="41">
      <c r="A41" s="0" t="inlineStr">
        <is>
          <t>2026-03-28</t>
        </is>
      </c>
      <c r="B41" s="0" t="n">
        <v>40</v>
      </c>
      <c r="C41" s="0" t="inlineStr">
        <is>
          <t>Mutta Kalakki (From "Youth")</t>
        </is>
      </c>
      <c r="D41" s="0" t="inlineStr">
        <is>
          <t>G. V. Prakash, Ken Karunaas</t>
        </is>
      </c>
    </row>
    <row r="42">
      <c r="A42" s="0" t="inlineStr">
        <is>
          <t>2026-03-28</t>
        </is>
      </c>
      <c r="B42" s="0" t="n">
        <v>41</v>
      </c>
      <c r="C42" s="0" t="inlineStr">
        <is>
          <t>Ye Tune Kya Kiya</t>
        </is>
      </c>
      <c r="D42" s="0" t="inlineStr">
        <is>
          <t>Pritam, Javed Bashir, Rajat Arora</t>
        </is>
      </c>
    </row>
    <row r="43">
      <c r="A43" s="0" t="inlineStr">
        <is>
          <t>2026-03-28</t>
        </is>
      </c>
      <c r="B43" s="0" t="n">
        <v>42</v>
      </c>
      <c r="C43" s="0" t="inlineStr">
        <is>
          <t>Haseen</t>
        </is>
      </c>
      <c r="D43" s="0" t="inlineStr">
        <is>
          <t>Talwiinder, NDS, Rippy Grewal</t>
        </is>
      </c>
    </row>
    <row r="44">
      <c r="A44" s="0" t="inlineStr">
        <is>
          <t>2026-03-28</t>
        </is>
      </c>
      <c r="B44" s="0" t="n">
        <v>43</v>
      </c>
      <c r="C44" s="0" t="inlineStr">
        <is>
          <t>SWIM</t>
        </is>
      </c>
      <c r="D44" s="0" t="inlineStr">
        <is>
          <t>BTS</t>
        </is>
      </c>
    </row>
    <row r="45">
      <c r="A45" s="0" t="inlineStr">
        <is>
          <t>2026-03-28</t>
        </is>
      </c>
      <c r="B45" s="0" t="n">
        <v>44</v>
      </c>
      <c r="C45" s="0" t="inlineStr">
        <is>
          <t>Not Guilty</t>
        </is>
      </c>
      <c r="D45" s="0" t="inlineStr">
        <is>
          <t>Dhanda Nyoliwala</t>
        </is>
      </c>
    </row>
    <row r="46">
      <c r="A46" s="0" t="inlineStr">
        <is>
          <t>2026-03-28</t>
        </is>
      </c>
      <c r="B46" s="0" t="n">
        <v>45</v>
      </c>
      <c r="C46" s="0" t="inlineStr">
        <is>
          <t>Ehsaas</t>
        </is>
      </c>
      <c r="D46" s="0" t="inlineStr">
        <is>
          <t>Faheem Abdullah, Duha Shah, Vaibhav Pani, Hyder Dar</t>
        </is>
      </c>
    </row>
    <row r="47">
      <c r="A47" s="0" t="inlineStr">
        <is>
          <t>2026-03-28</t>
        </is>
      </c>
      <c r="B47" s="0" t="n">
        <v>46</v>
      </c>
      <c r="C47" s="0" t="inlineStr">
        <is>
          <t>Jogi</t>
        </is>
      </c>
      <c r="D47" s="0" t="inlineStr">
        <is>
          <t>thiarajxtt, Bir</t>
        </is>
      </c>
    </row>
    <row r="48">
      <c r="A48" s="0" t="inlineStr">
        <is>
          <t>2026-03-28</t>
        </is>
      </c>
      <c r="B48" s="0" t="n">
        <v>47</v>
      </c>
      <c r="C48" s="0" t="inlineStr">
        <is>
          <t>Barbaad (From "Saiyaara")</t>
        </is>
      </c>
      <c r="D48" s="0" t="inlineStr">
        <is>
          <t>The Rish, Jubin Nautiyal</t>
        </is>
      </c>
    </row>
    <row r="49">
      <c r="A49" s="0" t="inlineStr">
        <is>
          <t>2026-03-28</t>
        </is>
      </c>
      <c r="B49" s="0" t="n">
        <v>48</v>
      </c>
      <c r="C49" s="0" t="inlineStr">
        <is>
          <t>Mann Mera - Original Version</t>
        </is>
      </c>
      <c r="D49" s="0" t="inlineStr">
        <is>
          <t>Gajendra Verma</t>
        </is>
      </c>
    </row>
    <row r="50">
      <c r="A50" s="0" t="inlineStr">
        <is>
          <t>2026-03-28</t>
        </is>
      </c>
      <c r="B50" s="0" t="n">
        <v>49</v>
      </c>
      <c r="C50" s="0" t="inlineStr">
        <is>
          <t>Hum Pyaar Karne Wale</t>
        </is>
      </c>
      <c r="D50" s="0" t="inlineStr">
        <is>
          <t>Shashwat Sachdev, Anuradha Paudwal, Udit Narayan, Anand-Milind, Sameer Anjaan, Qveen Herby</t>
        </is>
      </c>
    </row>
    <row r="51">
      <c r="A51" s="0" t="inlineStr">
        <is>
          <t>2026-03-28</t>
        </is>
      </c>
      <c r="B51" s="0" t="n">
        <v>50</v>
      </c>
      <c r="C51" s="0" t="inlineStr">
        <is>
          <t>Teri Deewani</t>
        </is>
      </c>
      <c r="D51" s="0" t="inlineStr">
        <is>
          <t>Kailash Kher, Paresh Kamath, Naresh Kamath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Date</t>
        </is>
      </c>
      <c r="B1" s="24" t="inlineStr">
        <is>
          <t>Rank</t>
        </is>
      </c>
      <c r="C1" s="24" t="inlineStr">
        <is>
          <t>Song</t>
        </is>
      </c>
      <c r="D1" s="24" t="inlineStr">
        <is>
          <t>Artist</t>
        </is>
      </c>
    </row>
    <row r="2">
      <c r="A2" s="0" t="inlineStr">
        <is>
          <t>2026-03-30</t>
        </is>
      </c>
      <c r="B2" s="0" t="n">
        <v>1</v>
      </c>
      <c r="C2" s="0" t="inlineStr">
        <is>
          <t>Bairan</t>
        </is>
      </c>
      <c r="D2" s="0" t="inlineStr">
        <is>
          <t>Banjaare</t>
        </is>
      </c>
    </row>
    <row r="3">
      <c r="A3" s="0" t="inlineStr">
        <is>
          <t>2026-03-30</t>
        </is>
      </c>
      <c r="B3" s="0" t="n">
        <v>2</v>
      </c>
      <c r="C3" s="0" t="inlineStr">
        <is>
          <t>Jaiye Sajana</t>
        </is>
      </c>
      <c r="D3" s="0" t="inlineStr">
        <is>
          <t>Shashwat Sachdev, Jasmine Sandlas, Satinder Sartaaj</t>
        </is>
      </c>
    </row>
    <row r="4">
      <c r="A4" s="0" t="inlineStr">
        <is>
          <t>2026-03-30</t>
        </is>
      </c>
      <c r="B4" s="0" t="n">
        <v>3</v>
      </c>
      <c r="C4" s="0" t="inlineStr">
        <is>
          <t>Gehra Hua</t>
        </is>
      </c>
      <c r="D4" s="0" t="inlineStr">
        <is>
          <t>Shashwat Sachdev, Arijit Singh, Irshad Kamil, Armaan Khan</t>
        </is>
      </c>
    </row>
    <row r="5">
      <c r="A5" s="0" t="inlineStr">
        <is>
          <t>2026-03-30</t>
        </is>
      </c>
      <c r="B5" s="0" t="n">
        <v>4</v>
      </c>
      <c r="C5" s="0" t="inlineStr">
        <is>
          <t>Sheesha - Aakhya Mai Aakh Ghali Jo Bairan</t>
        </is>
      </c>
      <c r="D5" s="0" t="inlineStr">
        <is>
          <t>Mitta Ror, Swara Verma</t>
        </is>
      </c>
    </row>
    <row r="6">
      <c r="A6" s="0" t="inlineStr">
        <is>
          <t>2026-03-30</t>
        </is>
      </c>
      <c r="B6" s="0" t="n">
        <v>5</v>
      </c>
      <c r="C6" s="0" t="inlineStr">
        <is>
          <t>Dhurandhar The Revenge - Aari Aari</t>
        </is>
      </c>
      <c r="D6" s="0" t="inlineStr">
        <is>
          <t>Shashwat Sachdev, Bombay Rockers, Irshad Kamil, Khan Saab, Reble, Token, Jasmine Sandlas, Sudhir Yaduvanshi</t>
        </is>
      </c>
    </row>
    <row r="7">
      <c r="A7" s="0" t="inlineStr">
        <is>
          <t>2026-03-30</t>
        </is>
      </c>
      <c r="B7" s="0" t="n">
        <v>6</v>
      </c>
      <c r="C7" s="0" t="inlineStr">
        <is>
          <t>Khat</t>
        </is>
      </c>
      <c r="D7" s="0" t="inlineStr">
        <is>
          <t>Navjot Ahuja</t>
        </is>
      </c>
    </row>
    <row r="8">
      <c r="A8" s="0" t="inlineStr">
        <is>
          <t>2026-03-30</t>
        </is>
      </c>
      <c r="B8" s="0" t="n">
        <v>7</v>
      </c>
      <c r="C8" s="0" t="inlineStr">
        <is>
          <t>Jaan Se Guzarte Hain</t>
        </is>
      </c>
      <c r="D8" s="0" t="inlineStr">
        <is>
          <t>Shashwat Sachdev, Khan Saab, Nusrat Fateh Ali Khan</t>
        </is>
      </c>
    </row>
    <row r="9">
      <c r="A9" s="0" t="inlineStr">
        <is>
          <t>2026-03-30</t>
        </is>
      </c>
      <c r="B9" s="0" t="n">
        <v>8</v>
      </c>
      <c r="C9" s="0" t="inlineStr">
        <is>
          <t>Sitaare (From "Ikkis")</t>
        </is>
      </c>
      <c r="D9" s="0" t="inlineStr">
        <is>
          <t>Arijit Singh, White Noise Collectives, Amitabh Bhattacharya</t>
        </is>
      </c>
    </row>
    <row r="10">
      <c r="A10" s="0" t="inlineStr">
        <is>
          <t>2026-03-30</t>
        </is>
      </c>
      <c r="B10" s="0" t="n">
        <v>9</v>
      </c>
      <c r="C10" s="0" t="inlineStr">
        <is>
          <t>Dooron Dooron</t>
        </is>
      </c>
      <c r="D10" s="0" t="inlineStr">
        <is>
          <t>Paresh Pahuja, Shiv Tandan, Meghdeep Bose</t>
        </is>
      </c>
    </row>
    <row r="11">
      <c r="A11" s="0" t="inlineStr">
        <is>
          <t>2026-03-30</t>
        </is>
      </c>
      <c r="B11" s="0" t="n">
        <v>10</v>
      </c>
      <c r="C11" s="0" t="inlineStr">
        <is>
          <t>Sahiba</t>
        </is>
      </c>
      <c r="D11" s="0" t="inlineStr">
        <is>
          <t>Aditya Rikhari</t>
        </is>
      </c>
    </row>
    <row r="12">
      <c r="A12" s="0" t="inlineStr">
        <is>
          <t>2026-03-30</t>
        </is>
      </c>
      <c r="B12" s="0" t="n">
        <v>11</v>
      </c>
      <c r="C12" s="0" t="inlineStr">
        <is>
          <t>Samjhawan</t>
        </is>
      </c>
      <c r="D12" s="0" t="inlineStr">
        <is>
          <t>Jawad Ahmad, Shaarib Toshi, Arijit Singh, Shreya Ghoshal</t>
        </is>
      </c>
    </row>
    <row r="13">
      <c r="A13" s="0" t="inlineStr">
        <is>
          <t>2026-03-30</t>
        </is>
      </c>
      <c r="B13" s="0" t="n">
        <v>12</v>
      </c>
      <c r="C13" s="0" t="inlineStr">
        <is>
          <t>Apna Bana Le</t>
        </is>
      </c>
      <c r="D13" s="0" t="inlineStr">
        <is>
          <t>Sachin-Jigar, Arijit Singh, Amitabh Bhattacharya</t>
        </is>
      </c>
    </row>
    <row r="14">
      <c r="A14" s="0" t="inlineStr">
        <is>
          <t>2026-03-30</t>
        </is>
      </c>
      <c r="B14" s="0" t="n">
        <v>13</v>
      </c>
      <c r="C14" s="0" t="inlineStr">
        <is>
          <t>Shararat</t>
        </is>
      </c>
      <c r="D14" s="0" t="inlineStr">
        <is>
          <t>Shashwat Sachdev, Madhubanti Bagchi, Jasmine Sandlas</t>
        </is>
      </c>
    </row>
    <row r="15">
      <c r="A15" s="0" t="inlineStr">
        <is>
          <t>2026-03-30</t>
        </is>
      </c>
      <c r="B15" s="0" t="n">
        <v>14</v>
      </c>
      <c r="C15" s="0" t="inlineStr">
        <is>
          <t>Finding Her</t>
        </is>
      </c>
      <c r="D15" s="0" t="inlineStr">
        <is>
          <t>Kushagra, Bharath, Saaheal</t>
        </is>
      </c>
    </row>
    <row r="16">
      <c r="A16" s="0" t="inlineStr">
        <is>
          <t>2026-03-30</t>
        </is>
      </c>
      <c r="B16" s="0" t="n">
        <v>15</v>
      </c>
      <c r="C16" s="0" t="inlineStr">
        <is>
          <t>Arz Kiya Hai | Coke Studio Bharat</t>
        </is>
      </c>
      <c r="D16" s="0" t="inlineStr">
        <is>
          <t>Anuv Jain</t>
        </is>
      </c>
    </row>
    <row r="17">
      <c r="A17" s="0" t="inlineStr">
        <is>
          <t>2026-03-30</t>
        </is>
      </c>
      <c r="B17" s="0" t="n">
        <v>16</v>
      </c>
      <c r="C17" s="0" t="inlineStr">
        <is>
          <t>Dhurandhar - Title Track</t>
        </is>
      </c>
      <c r="D17" s="0" t="inlineStr">
        <is>
          <t>Shashwat Sachdev, Hanumankind, Jasmine Sandlas, Sudhir Yaduvanshi, Charanjit Ahuja, Muhammad Sadiq, Ranjit Kaur, Babu Singh Maan</t>
        </is>
      </c>
    </row>
    <row r="18">
      <c r="A18" s="0" t="inlineStr">
        <is>
          <t>2026-03-30</t>
        </is>
      </c>
      <c r="B18" s="0" t="n">
        <v>17</v>
      </c>
      <c r="C18" s="0" t="inlineStr">
        <is>
          <t>For A Reason</t>
        </is>
      </c>
      <c r="D18" s="0" t="inlineStr">
        <is>
          <t>Karan Aujla, Ikky</t>
        </is>
      </c>
    </row>
    <row r="19">
      <c r="A19" s="0" t="inlineStr">
        <is>
          <t>2026-03-30</t>
        </is>
      </c>
      <c r="B19" s="0" t="n">
        <v>18</v>
      </c>
      <c r="C19" s="0" t="inlineStr">
        <is>
          <t>Pavazha Malli - From "Think Indie"</t>
        </is>
      </c>
      <c r="D19" s="0" t="inlineStr">
        <is>
          <t>Sai Abhyankkar, Shruti Haasan, Vivek</t>
        </is>
      </c>
    </row>
    <row r="20">
      <c r="A20" s="0" t="inlineStr">
        <is>
          <t>2026-03-30</t>
        </is>
      </c>
      <c r="B20" s="0" t="n">
        <v>19</v>
      </c>
      <c r="C20" s="0" t="inlineStr">
        <is>
          <t>Boyfriend</t>
        </is>
      </c>
      <c r="D20" s="0" t="inlineStr">
        <is>
          <t>Karan Aujla, Ikky</t>
        </is>
      </c>
    </row>
    <row r="21">
      <c r="A21" s="0" t="inlineStr">
        <is>
          <t>2026-03-30</t>
        </is>
      </c>
      <c r="B21" s="0" t="n">
        <v>20</v>
      </c>
      <c r="C21" s="0" t="inlineStr">
        <is>
          <t>Ishq</t>
        </is>
      </c>
      <c r="D21" s="0" t="inlineStr">
        <is>
          <t>Faheem Abdullah, Rauhan Malik, Amir Ameer</t>
        </is>
      </c>
    </row>
    <row r="22">
      <c r="A22" s="0" t="inlineStr">
        <is>
          <t>2026-03-30</t>
        </is>
      </c>
      <c r="B22" s="0" t="n">
        <v>21</v>
      </c>
      <c r="C22" s="0" t="inlineStr">
        <is>
          <t>Mann Mera</t>
        </is>
      </c>
      <c r="D22" s="0" t="inlineStr">
        <is>
          <t>Gajendra Verma</t>
        </is>
      </c>
    </row>
    <row r="23">
      <c r="A23" s="0" t="inlineStr">
        <is>
          <t>2026-03-30</t>
        </is>
      </c>
      <c r="B23" s="0" t="n">
        <v>22</v>
      </c>
      <c r="C23" s="0" t="inlineStr">
        <is>
          <t>Phir Se</t>
        </is>
      </c>
      <c r="D23" s="0" t="inlineStr">
        <is>
          <t>Shashwat Sachdev, Arijit Singh, Irshad Kamil</t>
        </is>
      </c>
    </row>
    <row r="24">
      <c r="A24" s="0" t="inlineStr">
        <is>
          <t>2026-03-30</t>
        </is>
      </c>
      <c r="B24" s="0" t="n">
        <v>23</v>
      </c>
      <c r="C24" s="0" t="inlineStr">
        <is>
          <t>Bairi</t>
        </is>
      </c>
      <c r="D24" s="0" t="inlineStr">
        <is>
          <t>Virat, Pradeep Solanki, Heena</t>
        </is>
      </c>
    </row>
    <row r="25">
      <c r="A25" s="0" t="inlineStr">
        <is>
          <t>2026-03-30</t>
        </is>
      </c>
      <c r="B25" s="0" t="n">
        <v>24</v>
      </c>
      <c r="C25" s="0" t="inlineStr">
        <is>
          <t>Naal Nachna</t>
        </is>
      </c>
      <c r="D25" s="0" t="inlineStr">
        <is>
          <t>Shashwat Sachdev, Afsana Khan, Irshad Kamil, Reble</t>
        </is>
      </c>
    </row>
    <row r="26">
      <c r="A26" s="0" t="inlineStr">
        <is>
          <t>2026-03-30</t>
        </is>
      </c>
      <c r="B26" s="0" t="n">
        <v>25</v>
      </c>
      <c r="C26" s="0" t="inlineStr">
        <is>
          <t>Ishqa Ve</t>
        </is>
      </c>
      <c r="D26" s="0" t="inlineStr">
        <is>
          <t>Zeeshan Ali, Yuvraj Tung, Sandeep Aulakh, Honey Dhillon</t>
        </is>
      </c>
    </row>
    <row r="27">
      <c r="A27" s="0" t="inlineStr">
        <is>
          <t>2026-03-30</t>
        </is>
      </c>
      <c r="B27" s="0" t="n">
        <v>26</v>
      </c>
      <c r="C27" s="0" t="inlineStr">
        <is>
          <t>Saiyaara</t>
        </is>
      </c>
      <c r="D27" s="0" t="inlineStr">
        <is>
          <t>Tanishk Bagchi, Faheem Abdullah, Arslan Nizami, Irshad Kamil</t>
        </is>
      </c>
    </row>
    <row r="28">
      <c r="A28" s="0" t="inlineStr">
        <is>
          <t>2026-03-30</t>
        </is>
      </c>
      <c r="B28" s="0" t="n">
        <v>27</v>
      </c>
      <c r="C28" s="0" t="inlineStr">
        <is>
          <t>Tere Liye</t>
        </is>
      </c>
      <c r="D28" s="0" t="inlineStr">
        <is>
          <t>Atif Aslam, Shreya Ghoshal, Sachin Gupta, Sameer Anjaan</t>
        </is>
      </c>
    </row>
    <row r="29">
      <c r="A29" s="0" t="inlineStr">
        <is>
          <t>2026-03-30</t>
        </is>
      </c>
      <c r="B29" s="0" t="n">
        <v>28</v>
      </c>
      <c r="C29" s="0" t="inlineStr">
        <is>
          <t>Deewaana Deewaana</t>
        </is>
      </c>
      <c r="D29" s="0" t="inlineStr">
        <is>
          <t>A.R. Rahman, Irshad Kamil</t>
        </is>
      </c>
    </row>
    <row r="30">
      <c r="A30" s="0" t="inlineStr">
        <is>
          <t>2026-03-30</t>
        </is>
      </c>
      <c r="B30" s="0" t="n">
        <v>29</v>
      </c>
      <c r="C30" s="0" t="inlineStr">
        <is>
          <t>Darkhaast</t>
        </is>
      </c>
      <c r="D30" s="0" t="inlineStr">
        <is>
          <t>Mithoon, Arijit Singh, Sunidhi Chauhan, Sayeed Quadri</t>
        </is>
      </c>
    </row>
    <row r="31">
      <c r="A31" s="0" t="inlineStr">
        <is>
          <t>2026-03-30</t>
        </is>
      </c>
      <c r="B31" s="0" t="n">
        <v>30</v>
      </c>
      <c r="C31" s="0" t="inlineStr">
        <is>
          <t>Tum Ho Toh (From "Saiyaara")</t>
        </is>
      </c>
      <c r="D31" s="0" t="inlineStr">
        <is>
          <t>Vishal Mishra, Hansika Pareek, Raj Shekhar</t>
        </is>
      </c>
    </row>
    <row r="32">
      <c r="A32" s="0" t="inlineStr">
        <is>
          <t>2026-03-30</t>
        </is>
      </c>
      <c r="B32" s="0" t="n">
        <v>31</v>
      </c>
      <c r="C32" s="0" t="inlineStr">
        <is>
          <t>Main Aur Tu</t>
        </is>
      </c>
      <c r="D32" s="0" t="inlineStr">
        <is>
          <t>Shashwat Sachdev, Jasmine Sandlas, Reble</t>
        </is>
      </c>
    </row>
    <row r="33">
      <c r="A33" s="0" t="inlineStr">
        <is>
          <t>2026-03-30</t>
        </is>
      </c>
      <c r="B33" s="0" t="n">
        <v>32</v>
      </c>
      <c r="C33" s="0" t="inlineStr">
        <is>
          <t>Lutt Le Gaya</t>
        </is>
      </c>
      <c r="D33" s="0" t="inlineStr">
        <is>
          <t>Shashwat Sachdev, Simran Choudhary</t>
        </is>
      </c>
    </row>
    <row r="34">
      <c r="A34" s="0" t="inlineStr">
        <is>
          <t>2026-03-30</t>
        </is>
      </c>
      <c r="B34" s="0" t="n">
        <v>33</v>
      </c>
      <c r="C34" s="0" t="inlineStr">
        <is>
          <t>Tere Bina</t>
        </is>
      </c>
      <c r="D34" s="0" t="inlineStr">
        <is>
          <t>A.R. Rahman, Chinmayi, Murtuza Khan, Qadir Khan</t>
        </is>
      </c>
    </row>
    <row r="35">
      <c r="A35" s="0" t="inlineStr">
        <is>
          <t>2026-03-30</t>
        </is>
      </c>
      <c r="B35" s="0" t="n">
        <v>34</v>
      </c>
      <c r="C35" s="0" t="inlineStr">
        <is>
          <t>Jo Tum Mere Ho</t>
        </is>
      </c>
      <c r="D35" s="0" t="inlineStr">
        <is>
          <t>Anuv Jain</t>
        </is>
      </c>
    </row>
    <row r="36">
      <c r="A36" s="0" t="inlineStr">
        <is>
          <t>2026-03-30</t>
        </is>
      </c>
      <c r="B36" s="0" t="n">
        <v>35</v>
      </c>
      <c r="C36" s="0" t="inlineStr">
        <is>
          <t>Raanjhan (From "Do Patti")</t>
        </is>
      </c>
      <c r="D36" s="0" t="inlineStr">
        <is>
          <t>Sachet-Parampara, Parampara Tandon, Kausar Munir</t>
        </is>
      </c>
    </row>
    <row r="37">
      <c r="A37" s="0" t="inlineStr">
        <is>
          <t>2026-03-30</t>
        </is>
      </c>
      <c r="B37" s="0" t="n">
        <v>36</v>
      </c>
      <c r="C37" s="0" t="inlineStr">
        <is>
          <t>Run Down The City - Monica</t>
        </is>
      </c>
      <c r="D37" s="0" t="inlineStr">
        <is>
          <t>Shashwat Sachdev, Reble, Asha Bhosle, R. D. Burman, Majrooh Sultanpuri</t>
        </is>
      </c>
    </row>
    <row r="38">
      <c r="A38" s="0" t="inlineStr">
        <is>
          <t>2026-03-30</t>
        </is>
      </c>
      <c r="B38" s="0" t="n">
        <v>37</v>
      </c>
      <c r="C38" s="0" t="inlineStr">
        <is>
          <t>Haseen</t>
        </is>
      </c>
      <c r="D38" s="0" t="inlineStr">
        <is>
          <t>Talwiinder, NDS, Rippy Grewal</t>
        </is>
      </c>
    </row>
    <row r="39">
      <c r="A39" s="0" t="inlineStr">
        <is>
          <t>2026-03-30</t>
        </is>
      </c>
      <c r="B39" s="0" t="n">
        <v>38</v>
      </c>
      <c r="C39" s="0" t="inlineStr">
        <is>
          <t>Agar Tum Saath Ho (From "Tamasha")</t>
        </is>
      </c>
      <c r="D39" s="0" t="inlineStr">
        <is>
          <t>Alka Yagnik, Arijit Singh</t>
        </is>
      </c>
    </row>
    <row r="40">
      <c r="A40" s="0" t="inlineStr">
        <is>
          <t>2026-03-30</t>
        </is>
      </c>
      <c r="B40" s="0" t="n">
        <v>39</v>
      </c>
      <c r="C40" s="0" t="inlineStr">
        <is>
          <t>Ishq Jalakar - Karvaan</t>
        </is>
      </c>
      <c r="D40" s="0" t="inlineStr">
        <is>
          <t>Shashwat Sachdev, Shahzad Ali, Subhadeep Das Chowdhury, Armaan Khan, Irshad Kamil, Roshan, Sahir Ludhianvi</t>
        </is>
      </c>
    </row>
    <row r="41">
      <c r="A41" s="0" t="inlineStr">
        <is>
          <t>2026-03-30</t>
        </is>
      </c>
      <c r="B41" s="0" t="n">
        <v>40</v>
      </c>
      <c r="C41" s="0" t="inlineStr">
        <is>
          <t>Ye Tune Kya Kiya</t>
        </is>
      </c>
      <c r="D41" s="0" t="inlineStr">
        <is>
          <t>Pritam, Javed Bashir, Rajat Arora</t>
        </is>
      </c>
    </row>
    <row r="42">
      <c r="A42" s="0" t="inlineStr">
        <is>
          <t>2026-03-30</t>
        </is>
      </c>
      <c r="B42" s="0" t="n">
        <v>41</v>
      </c>
      <c r="C42" s="0" t="inlineStr">
        <is>
          <t>Vaari Jaavan</t>
        </is>
      </c>
      <c r="D42" s="0" t="inlineStr">
        <is>
          <t>Shashwat Sachdev, Jyoti Nooran, Jasmine Sandlas, Reble</t>
        </is>
      </c>
    </row>
    <row r="43">
      <c r="A43" s="0" t="inlineStr">
        <is>
          <t>2026-03-30</t>
        </is>
      </c>
      <c r="B43" s="0" t="n">
        <v>42</v>
      </c>
      <c r="C43" s="0" t="inlineStr">
        <is>
          <t>Barbaad (From "Saiyaara")</t>
        </is>
      </c>
      <c r="D43" s="0" t="inlineStr">
        <is>
          <t>The Rish, Jubin Nautiyal</t>
        </is>
      </c>
    </row>
    <row r="44">
      <c r="A44" s="0" t="inlineStr">
        <is>
          <t>2026-03-30</t>
        </is>
      </c>
      <c r="B44" s="0" t="n">
        <v>43</v>
      </c>
      <c r="C44" s="0" t="inlineStr">
        <is>
          <t>Not Guilty</t>
        </is>
      </c>
      <c r="D44" s="0" t="inlineStr">
        <is>
          <t>Dhanda Nyoliwala</t>
        </is>
      </c>
    </row>
    <row r="45">
      <c r="A45" s="0" t="inlineStr">
        <is>
          <t>2026-03-30</t>
        </is>
      </c>
      <c r="B45" s="0" t="n">
        <v>44</v>
      </c>
      <c r="C45" s="0" t="inlineStr">
        <is>
          <t>Jogi</t>
        </is>
      </c>
      <c r="D45" s="0" t="inlineStr">
        <is>
          <t>thiarajxtt, Bir</t>
        </is>
      </c>
    </row>
    <row r="46">
      <c r="A46" s="0" t="inlineStr">
        <is>
          <t>2026-03-30</t>
        </is>
      </c>
      <c r="B46" s="0" t="n">
        <v>45</v>
      </c>
      <c r="C46" s="0" t="inlineStr">
        <is>
          <t>Aaya Sher (From "The Paradise") (Telugu)</t>
        </is>
      </c>
      <c r="D46" s="0" t="inlineStr">
        <is>
          <t>Anirudh Ravichander, Jangi Reddy, Arjun Chandy, Kasarla Shyam</t>
        </is>
      </c>
    </row>
    <row r="47">
      <c r="A47" s="0" t="inlineStr">
        <is>
          <t>2026-03-30</t>
        </is>
      </c>
      <c r="B47" s="0" t="n">
        <v>46</v>
      </c>
      <c r="C47" s="0" t="inlineStr">
        <is>
          <t>Mutta Kalakki (From "Youth")</t>
        </is>
      </c>
      <c r="D47" s="0" t="inlineStr">
        <is>
          <t>G. V. Prakash, Ken Karunaas</t>
        </is>
      </c>
    </row>
    <row r="48">
      <c r="A48" s="0" t="inlineStr">
        <is>
          <t>2026-03-30</t>
        </is>
      </c>
      <c r="B48" s="0" t="n">
        <v>47</v>
      </c>
      <c r="C48" s="0" t="inlineStr">
        <is>
          <t>Hum Pyaar Karne Wale</t>
        </is>
      </c>
      <c r="D48" s="0" t="inlineStr">
        <is>
          <t>Shashwat Sachdev, Anuradha Paudwal, Udit Narayan, Anand-Milind, Sameer Anjaan, Qveen Herby</t>
        </is>
      </c>
    </row>
    <row r="49">
      <c r="A49" s="0" t="inlineStr">
        <is>
          <t>2026-03-30</t>
        </is>
      </c>
      <c r="B49" s="0" t="n">
        <v>48</v>
      </c>
      <c r="C49" s="0" t="inlineStr">
        <is>
          <t>Ehsaas</t>
        </is>
      </c>
      <c r="D49" s="0" t="inlineStr">
        <is>
          <t>Faheem Abdullah, Duha Shah, Vaibhav Pani, Hyder Dar</t>
        </is>
      </c>
    </row>
    <row r="50">
      <c r="A50" s="0" t="inlineStr">
        <is>
          <t>2026-03-30</t>
        </is>
      </c>
      <c r="B50" s="0" t="n">
        <v>49</v>
      </c>
      <c r="C50" s="0" t="inlineStr">
        <is>
          <t>Teri Deewani</t>
        </is>
      </c>
      <c r="D50" s="0" t="inlineStr">
        <is>
          <t>Kailash Kher, Paresh Kamath, Naresh Kamath</t>
        </is>
      </c>
    </row>
    <row r="51">
      <c r="A51" s="0" t="inlineStr">
        <is>
          <t>2026-03-30</t>
        </is>
      </c>
      <c r="B51" s="0" t="n">
        <v>50</v>
      </c>
      <c r="C51" s="0" t="inlineStr">
        <is>
          <t>SWIM</t>
        </is>
      </c>
      <c r="D51" s="0" t="inlineStr">
        <is>
          <t>BTS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Date</t>
        </is>
      </c>
      <c r="B1" s="24" t="inlineStr">
        <is>
          <t>Rank</t>
        </is>
      </c>
      <c r="C1" s="24" t="inlineStr">
        <is>
          <t>Song</t>
        </is>
      </c>
      <c r="D1" s="24" t="inlineStr">
        <is>
          <t>Artist</t>
        </is>
      </c>
    </row>
    <row r="2">
      <c r="A2" s="0" t="inlineStr">
        <is>
          <t>2026-03-29</t>
        </is>
      </c>
      <c r="B2" s="0" t="n">
        <v>1</v>
      </c>
      <c r="C2" s="0" t="inlineStr">
        <is>
          <t>Bairan</t>
        </is>
      </c>
      <c r="D2" s="0" t="inlineStr">
        <is>
          <t>Banjaare</t>
        </is>
      </c>
    </row>
    <row r="3">
      <c r="A3" s="0" t="inlineStr">
        <is>
          <t>2026-03-29</t>
        </is>
      </c>
      <c r="B3" s="0" t="n">
        <v>2</v>
      </c>
      <c r="C3" s="0" t="inlineStr">
        <is>
          <t>Jaiye Sajana</t>
        </is>
      </c>
      <c r="D3" s="0" t="inlineStr">
        <is>
          <t>Shashwat Sachdev, Jasmine Sandlas, Satinder Sartaaj</t>
        </is>
      </c>
    </row>
    <row r="4">
      <c r="A4" s="0" t="inlineStr">
        <is>
          <t>2026-03-29</t>
        </is>
      </c>
      <c r="B4" s="0" t="n">
        <v>3</v>
      </c>
      <c r="C4" s="0" t="inlineStr">
        <is>
          <t>Gehra Hua</t>
        </is>
      </c>
      <c r="D4" s="0" t="inlineStr">
        <is>
          <t>Shashwat Sachdev, Arijit Singh, Irshad Kamil, Armaan Khan</t>
        </is>
      </c>
    </row>
    <row r="5">
      <c r="A5" s="0" t="inlineStr">
        <is>
          <t>2026-03-29</t>
        </is>
      </c>
      <c r="B5" s="0" t="n">
        <v>4</v>
      </c>
      <c r="C5" s="0" t="inlineStr">
        <is>
          <t>Sheesha - Aakhya Mai Aakh Ghali Jo Bairan</t>
        </is>
      </c>
      <c r="D5" s="0" t="inlineStr">
        <is>
          <t>Mitta Ror, Swara Verma</t>
        </is>
      </c>
    </row>
    <row r="6">
      <c r="A6" s="0" t="inlineStr">
        <is>
          <t>2026-03-29</t>
        </is>
      </c>
      <c r="B6" s="0" t="n">
        <v>5</v>
      </c>
      <c r="C6" s="0" t="inlineStr">
        <is>
          <t>Dhurandhar The Revenge - Aari Aari</t>
        </is>
      </c>
      <c r="D6" s="0" t="inlineStr">
        <is>
          <t>Shashwat Sachdev, Bombay Rockers, Irshad Kamil, Khan Saab, Reble, Token, Jasmine Sandlas, Sudhir Yaduvanshi</t>
        </is>
      </c>
    </row>
    <row r="7">
      <c r="A7" s="0" t="inlineStr">
        <is>
          <t>2026-03-29</t>
        </is>
      </c>
      <c r="B7" s="0" t="n">
        <v>6</v>
      </c>
      <c r="C7" s="0" t="inlineStr">
        <is>
          <t>Khat</t>
        </is>
      </c>
      <c r="D7" s="0" t="inlineStr">
        <is>
          <t>Navjot Ahuja</t>
        </is>
      </c>
    </row>
    <row r="8">
      <c r="A8" s="0" t="inlineStr">
        <is>
          <t>2026-03-29</t>
        </is>
      </c>
      <c r="B8" s="0" t="n">
        <v>7</v>
      </c>
      <c r="C8" s="0" t="inlineStr">
        <is>
          <t>Jaan Se Guzarte Hain</t>
        </is>
      </c>
      <c r="D8" s="0" t="inlineStr">
        <is>
          <t>Shashwat Sachdev, Khan Saab, Nusrat Fateh Ali Khan</t>
        </is>
      </c>
    </row>
    <row r="9">
      <c r="A9" s="0" t="inlineStr">
        <is>
          <t>2026-03-29</t>
        </is>
      </c>
      <c r="B9" s="0" t="n">
        <v>8</v>
      </c>
      <c r="C9" s="0" t="inlineStr">
        <is>
          <t>Sitaare (From "Ikkis")</t>
        </is>
      </c>
      <c r="D9" s="0" t="inlineStr">
        <is>
          <t>Arijit Singh, White Noise Collectives, Amitabh Bhattacharya</t>
        </is>
      </c>
    </row>
    <row r="10">
      <c r="A10" s="0" t="inlineStr">
        <is>
          <t>2026-03-29</t>
        </is>
      </c>
      <c r="B10" s="0" t="n">
        <v>9</v>
      </c>
      <c r="C10" s="0" t="inlineStr">
        <is>
          <t>Dooron Dooron</t>
        </is>
      </c>
      <c r="D10" s="0" t="inlineStr">
        <is>
          <t>Paresh Pahuja, Shiv Tandan, Meghdeep Bose</t>
        </is>
      </c>
    </row>
    <row r="11">
      <c r="A11" s="0" t="inlineStr">
        <is>
          <t>2026-03-29</t>
        </is>
      </c>
      <c r="B11" s="0" t="n">
        <v>10</v>
      </c>
      <c r="C11" s="0" t="inlineStr">
        <is>
          <t>Sahiba</t>
        </is>
      </c>
      <c r="D11" s="0" t="inlineStr">
        <is>
          <t>Aditya Rikhari</t>
        </is>
      </c>
    </row>
    <row r="12">
      <c r="A12" s="0" t="inlineStr">
        <is>
          <t>2026-03-29</t>
        </is>
      </c>
      <c r="B12" s="0" t="n">
        <v>11</v>
      </c>
      <c r="C12" s="0" t="inlineStr">
        <is>
          <t>Samjhawan</t>
        </is>
      </c>
      <c r="D12" s="0" t="inlineStr">
        <is>
          <t>Jawad Ahmad, Shaarib Toshi, Arijit Singh, Shreya Ghoshal</t>
        </is>
      </c>
    </row>
    <row r="13">
      <c r="A13" s="0" t="inlineStr">
        <is>
          <t>2026-03-29</t>
        </is>
      </c>
      <c r="B13" s="0" t="n">
        <v>12</v>
      </c>
      <c r="C13" s="0" t="inlineStr">
        <is>
          <t>Shararat</t>
        </is>
      </c>
      <c r="D13" s="0" t="inlineStr">
        <is>
          <t>Shashwat Sachdev, Madhubanti Bagchi, Jasmine Sandlas</t>
        </is>
      </c>
    </row>
    <row r="14">
      <c r="A14" s="0" t="inlineStr">
        <is>
          <t>2026-03-29</t>
        </is>
      </c>
      <c r="B14" s="0" t="n">
        <v>13</v>
      </c>
      <c r="C14" s="0" t="inlineStr">
        <is>
          <t>Apna Bana Le</t>
        </is>
      </c>
      <c r="D14" s="0" t="inlineStr">
        <is>
          <t>Sachin-Jigar, Arijit Singh, Amitabh Bhattacharya</t>
        </is>
      </c>
    </row>
    <row r="15">
      <c r="A15" s="0" t="inlineStr">
        <is>
          <t>2026-03-29</t>
        </is>
      </c>
      <c r="B15" s="0" t="n">
        <v>14</v>
      </c>
      <c r="C15" s="0" t="inlineStr">
        <is>
          <t>Finding Her</t>
        </is>
      </c>
      <c r="D15" s="0" t="inlineStr">
        <is>
          <t>Kushagra, Bharath, Saaheal</t>
        </is>
      </c>
    </row>
    <row r="16">
      <c r="A16" s="0" t="inlineStr">
        <is>
          <t>2026-03-29</t>
        </is>
      </c>
      <c r="B16" s="0" t="n">
        <v>15</v>
      </c>
      <c r="C16" s="0" t="inlineStr">
        <is>
          <t>Dhurandhar - Title Track</t>
        </is>
      </c>
      <c r="D16" s="0" t="inlineStr">
        <is>
          <t>Shashwat Sachdev, Hanumankind, Jasmine Sandlas, Sudhir Yaduvanshi, Charanjit Ahuja, Muhammad Sadiq, Ranjit Kaur, Babu Singh Maan</t>
        </is>
      </c>
    </row>
    <row r="17">
      <c r="A17" s="0" t="inlineStr">
        <is>
          <t>2026-03-29</t>
        </is>
      </c>
      <c r="B17" s="0" t="n">
        <v>16</v>
      </c>
      <c r="C17" s="0" t="inlineStr">
        <is>
          <t>Arz Kiya Hai | Coke Studio Bharat</t>
        </is>
      </c>
      <c r="D17" s="0" t="inlineStr">
        <is>
          <t>Anuv Jain</t>
        </is>
      </c>
    </row>
    <row r="18">
      <c r="A18" s="0" t="inlineStr">
        <is>
          <t>2026-03-29</t>
        </is>
      </c>
      <c r="B18" s="0" t="n">
        <v>17</v>
      </c>
      <c r="C18" s="0" t="inlineStr">
        <is>
          <t>For A Reason</t>
        </is>
      </c>
      <c r="D18" s="0" t="inlineStr">
        <is>
          <t>Karan Aujla, Ikky</t>
        </is>
      </c>
    </row>
    <row r="19">
      <c r="A19" s="0" t="inlineStr">
        <is>
          <t>2026-03-29</t>
        </is>
      </c>
      <c r="B19" s="0" t="n">
        <v>18</v>
      </c>
      <c r="C19" s="0" t="inlineStr">
        <is>
          <t>Pavazha Malli - From "Think Indie"</t>
        </is>
      </c>
      <c r="D19" s="0" t="inlineStr">
        <is>
          <t>Sai Abhyankkar, Shruti Haasan, Vivek</t>
        </is>
      </c>
    </row>
    <row r="20">
      <c r="A20" s="0" t="inlineStr">
        <is>
          <t>2026-03-29</t>
        </is>
      </c>
      <c r="B20" s="0" t="n">
        <v>19</v>
      </c>
      <c r="C20" s="0" t="inlineStr">
        <is>
          <t>Ishq</t>
        </is>
      </c>
      <c r="D20" s="0" t="inlineStr">
        <is>
          <t>Faheem Abdullah, Rauhan Malik, Amir Ameer</t>
        </is>
      </c>
    </row>
    <row r="21">
      <c r="A21" s="0" t="inlineStr">
        <is>
          <t>2026-03-29</t>
        </is>
      </c>
      <c r="B21" s="0" t="n">
        <v>20</v>
      </c>
      <c r="C21" s="0" t="inlineStr">
        <is>
          <t>Boyfriend</t>
        </is>
      </c>
      <c r="D21" s="0" t="inlineStr">
        <is>
          <t>Karan Aujla, Ikky</t>
        </is>
      </c>
    </row>
    <row r="22">
      <c r="A22" s="0" t="inlineStr">
        <is>
          <t>2026-03-29</t>
        </is>
      </c>
      <c r="B22" s="0" t="n">
        <v>21</v>
      </c>
      <c r="C22" s="0" t="inlineStr">
        <is>
          <t>Mann Mera</t>
        </is>
      </c>
      <c r="D22" s="0" t="inlineStr">
        <is>
          <t>Gajendra Verma</t>
        </is>
      </c>
    </row>
    <row r="23">
      <c r="A23" s="0" t="inlineStr">
        <is>
          <t>2026-03-29</t>
        </is>
      </c>
      <c r="B23" s="0" t="n">
        <v>22</v>
      </c>
      <c r="C23" s="0" t="inlineStr">
        <is>
          <t>Bairi</t>
        </is>
      </c>
      <c r="D23" s="0" t="inlineStr">
        <is>
          <t>Virat, Pradeep Solanki, Heena</t>
        </is>
      </c>
    </row>
    <row r="24">
      <c r="A24" s="0" t="inlineStr">
        <is>
          <t>2026-03-29</t>
        </is>
      </c>
      <c r="B24" s="0" t="n">
        <v>23</v>
      </c>
      <c r="C24" s="0" t="inlineStr">
        <is>
          <t>Ishqa Ve</t>
        </is>
      </c>
      <c r="D24" s="0" t="inlineStr">
        <is>
          <t>Zeeshan Ali, Yuvraj Tung, Sandeep Aulakh, Honey Dhillon</t>
        </is>
      </c>
    </row>
    <row r="25">
      <c r="A25" s="0" t="inlineStr">
        <is>
          <t>2026-03-29</t>
        </is>
      </c>
      <c r="B25" s="0" t="n">
        <v>24</v>
      </c>
      <c r="C25" s="0" t="inlineStr">
        <is>
          <t>Naal Nachna</t>
        </is>
      </c>
      <c r="D25" s="0" t="inlineStr">
        <is>
          <t>Shashwat Sachdev, Afsana Khan, Irshad Kamil, Reble</t>
        </is>
      </c>
    </row>
    <row r="26">
      <c r="A26" s="0" t="inlineStr">
        <is>
          <t>2026-03-29</t>
        </is>
      </c>
      <c r="B26" s="0" t="n">
        <v>25</v>
      </c>
      <c r="C26" s="0" t="inlineStr">
        <is>
          <t>Phir Se</t>
        </is>
      </c>
      <c r="D26" s="0" t="inlineStr">
        <is>
          <t>Shashwat Sachdev, Arijit Singh, Irshad Kamil</t>
        </is>
      </c>
    </row>
    <row r="27">
      <c r="A27" s="0" t="inlineStr">
        <is>
          <t>2026-03-29</t>
        </is>
      </c>
      <c r="B27" s="0" t="n">
        <v>26</v>
      </c>
      <c r="C27" s="0" t="inlineStr">
        <is>
          <t>Saiyaara</t>
        </is>
      </c>
      <c r="D27" s="0" t="inlineStr">
        <is>
          <t>Tanishk Bagchi, Faheem Abdullah, Arslan Nizami, Irshad Kamil</t>
        </is>
      </c>
    </row>
    <row r="28">
      <c r="A28" s="0" t="inlineStr">
        <is>
          <t>2026-03-29</t>
        </is>
      </c>
      <c r="B28" s="0" t="n">
        <v>27</v>
      </c>
      <c r="C28" s="0" t="inlineStr">
        <is>
          <t>Deewaana Deewaana</t>
        </is>
      </c>
      <c r="D28" s="0" t="inlineStr">
        <is>
          <t>A.R. Rahman, Irshad Kamil</t>
        </is>
      </c>
    </row>
    <row r="29">
      <c r="A29" s="0" t="inlineStr">
        <is>
          <t>2026-03-29</t>
        </is>
      </c>
      <c r="B29" s="0" t="n">
        <v>28</v>
      </c>
      <c r="C29" s="0" t="inlineStr">
        <is>
          <t>Tere Liye</t>
        </is>
      </c>
      <c r="D29" s="0" t="inlineStr">
        <is>
          <t>Atif Aslam, Shreya Ghoshal, Sachin Gupta, Sameer Anjaan</t>
        </is>
      </c>
    </row>
    <row r="30">
      <c r="A30" s="0" t="inlineStr">
        <is>
          <t>2026-03-29</t>
        </is>
      </c>
      <c r="B30" s="0" t="n">
        <v>29</v>
      </c>
      <c r="C30" s="0" t="inlineStr">
        <is>
          <t>Lutt Le Gaya</t>
        </is>
      </c>
      <c r="D30" s="0" t="inlineStr">
        <is>
          <t>Shashwat Sachdev, Simran Choudhary</t>
        </is>
      </c>
    </row>
    <row r="31">
      <c r="A31" s="0" t="inlineStr">
        <is>
          <t>2026-03-29</t>
        </is>
      </c>
      <c r="B31" s="0" t="n">
        <v>30</v>
      </c>
      <c r="C31" s="0" t="inlineStr">
        <is>
          <t>Raanjhan (From "Do Patti")</t>
        </is>
      </c>
      <c r="D31" s="0" t="inlineStr">
        <is>
          <t>Sachet-Parampara, Parampara Tandon, Kausar Munir</t>
        </is>
      </c>
    </row>
    <row r="32">
      <c r="A32" s="0" t="inlineStr">
        <is>
          <t>2026-03-29</t>
        </is>
      </c>
      <c r="B32" s="0" t="n">
        <v>31</v>
      </c>
      <c r="C32" s="0" t="inlineStr">
        <is>
          <t>Tum Ho Toh (From "Saiyaara")</t>
        </is>
      </c>
      <c r="D32" s="0" t="inlineStr">
        <is>
          <t>Vishal Mishra, Hansika Pareek, Raj Shekhar</t>
        </is>
      </c>
    </row>
    <row r="33">
      <c r="A33" s="0" t="inlineStr">
        <is>
          <t>2026-03-29</t>
        </is>
      </c>
      <c r="B33" s="0" t="n">
        <v>32</v>
      </c>
      <c r="C33" s="0" t="inlineStr">
        <is>
          <t>Main Aur Tu (From "Dhurandhar The Revenge")</t>
        </is>
      </c>
      <c r="D33" s="0" t="inlineStr">
        <is>
          <t>Shashwat Sachdev, Jasmine Sandlas, Reble</t>
        </is>
      </c>
    </row>
    <row r="34">
      <c r="A34" s="0" t="inlineStr">
        <is>
          <t>2026-03-29</t>
        </is>
      </c>
      <c r="B34" s="0" t="n">
        <v>33</v>
      </c>
      <c r="C34" s="0" t="inlineStr">
        <is>
          <t>Ishq Jalakar - Karvaan</t>
        </is>
      </c>
      <c r="D34" s="0" t="inlineStr">
        <is>
          <t>Shashwat Sachdev, Shahzad Ali, Subhadeep Das Chowdhury, Armaan Khan, Irshad Kamil, Roshan, Sahir Ludhianvi</t>
        </is>
      </c>
    </row>
    <row r="35">
      <c r="A35" s="0" t="inlineStr">
        <is>
          <t>2026-03-29</t>
        </is>
      </c>
      <c r="B35" s="0" t="n">
        <v>34</v>
      </c>
      <c r="C35" s="0" t="inlineStr">
        <is>
          <t>Darkhaast</t>
        </is>
      </c>
      <c r="D35" s="0" t="inlineStr">
        <is>
          <t>Mithoon, Arijit Singh, Sunidhi Chauhan, Sayeed Quadri</t>
        </is>
      </c>
    </row>
    <row r="36">
      <c r="A36" s="0" t="inlineStr">
        <is>
          <t>2026-03-29</t>
        </is>
      </c>
      <c r="B36" s="0" t="n">
        <v>35</v>
      </c>
      <c r="C36" s="0" t="inlineStr">
        <is>
          <t>Jo Tum Mere Ho</t>
        </is>
      </c>
      <c r="D36" s="0" t="inlineStr">
        <is>
          <t>Anuv Jain</t>
        </is>
      </c>
    </row>
    <row r="37">
      <c r="A37" s="0" t="inlineStr">
        <is>
          <t>2026-03-29</t>
        </is>
      </c>
      <c r="B37" s="0" t="n">
        <v>36</v>
      </c>
      <c r="C37" s="0" t="inlineStr">
        <is>
          <t>Tere Bina</t>
        </is>
      </c>
      <c r="D37" s="0" t="inlineStr">
        <is>
          <t>A.R. Rahman, Chinmayi, Murtuza Khan, Qadir Khan</t>
        </is>
      </c>
    </row>
    <row r="38">
      <c r="A38" s="0" t="inlineStr">
        <is>
          <t>2026-03-29</t>
        </is>
      </c>
      <c r="B38" s="0" t="n">
        <v>37</v>
      </c>
      <c r="C38" s="0" t="inlineStr">
        <is>
          <t>Run Down The City - Monica</t>
        </is>
      </c>
      <c r="D38" s="0" t="inlineStr">
        <is>
          <t>Shashwat Sachdev, Reble, Asha Bhosle, R. D. Burman, Majrooh Sultanpuri</t>
        </is>
      </c>
    </row>
    <row r="39">
      <c r="A39" s="0" t="inlineStr">
        <is>
          <t>2026-03-29</t>
        </is>
      </c>
      <c r="B39" s="0" t="n">
        <v>38</v>
      </c>
      <c r="C39" s="0" t="inlineStr">
        <is>
          <t>Haseen</t>
        </is>
      </c>
      <c r="D39" s="0" t="inlineStr">
        <is>
          <t>Talwiinder, NDS, Rippy Grewal</t>
        </is>
      </c>
    </row>
    <row r="40">
      <c r="A40" s="0" t="inlineStr">
        <is>
          <t>2026-03-29</t>
        </is>
      </c>
      <c r="B40" s="0" t="n">
        <v>39</v>
      </c>
      <c r="C40" s="0" t="inlineStr">
        <is>
          <t>Agar Tum Saath Ho (From "Tamasha")</t>
        </is>
      </c>
      <c r="D40" s="0" t="inlineStr">
        <is>
          <t>Alka Yagnik, Arijit Singh</t>
        </is>
      </c>
    </row>
    <row r="41">
      <c r="A41" s="0" t="inlineStr">
        <is>
          <t>2026-03-29</t>
        </is>
      </c>
      <c r="B41" s="0" t="n">
        <v>40</v>
      </c>
      <c r="C41" s="0" t="inlineStr">
        <is>
          <t>Ye Tune Kya Kiya</t>
        </is>
      </c>
      <c r="D41" s="0" t="inlineStr">
        <is>
          <t>Pritam, Javed Bashir, Rajat Arora</t>
        </is>
      </c>
    </row>
    <row r="42">
      <c r="A42" s="0" t="inlineStr">
        <is>
          <t>2026-03-29</t>
        </is>
      </c>
      <c r="B42" s="0" t="n">
        <v>41</v>
      </c>
      <c r="C42" s="0" t="inlineStr">
        <is>
          <t>Aaya Sher (From "The Paradise") (Telugu)</t>
        </is>
      </c>
      <c r="D42" s="0" t="inlineStr">
        <is>
          <t>Anirudh Ravichander, Jangi Reddy, Arjun Chandy, Kasarla Shyam</t>
        </is>
      </c>
    </row>
    <row r="43">
      <c r="A43" s="0" t="inlineStr">
        <is>
          <t>2026-03-29</t>
        </is>
      </c>
      <c r="B43" s="0" t="n">
        <v>42</v>
      </c>
      <c r="C43" s="0" t="inlineStr">
        <is>
          <t>Mutta Kalakki (From "Youth")</t>
        </is>
      </c>
      <c r="D43" s="0" t="inlineStr">
        <is>
          <t>G. V. Prakash, Ken Karunaas</t>
        </is>
      </c>
    </row>
    <row r="44">
      <c r="A44" s="0" t="inlineStr">
        <is>
          <t>2026-03-29</t>
        </is>
      </c>
      <c r="B44" s="0" t="n">
        <v>43</v>
      </c>
      <c r="C44" s="0" t="inlineStr">
        <is>
          <t>SWIM</t>
        </is>
      </c>
      <c r="D44" s="0" t="inlineStr">
        <is>
          <t>BTS</t>
        </is>
      </c>
    </row>
    <row r="45">
      <c r="A45" s="0" t="inlineStr">
        <is>
          <t>2026-03-29</t>
        </is>
      </c>
      <c r="B45" s="0" t="n">
        <v>44</v>
      </c>
      <c r="C45" s="0" t="inlineStr">
        <is>
          <t>Barbaad (From "Saiyaara")</t>
        </is>
      </c>
      <c r="D45" s="0" t="inlineStr">
        <is>
          <t>The Rish, Jubin Nautiyal</t>
        </is>
      </c>
    </row>
    <row r="46">
      <c r="A46" s="0" t="inlineStr">
        <is>
          <t>2026-03-29</t>
        </is>
      </c>
      <c r="B46" s="0" t="n">
        <v>45</v>
      </c>
      <c r="C46" s="0" t="inlineStr">
        <is>
          <t>Not Guilty</t>
        </is>
      </c>
      <c r="D46" s="0" t="inlineStr">
        <is>
          <t>Dhanda Nyoliwala</t>
        </is>
      </c>
    </row>
    <row r="47">
      <c r="A47" s="0" t="inlineStr">
        <is>
          <t>2026-03-29</t>
        </is>
      </c>
      <c r="B47" s="0" t="n">
        <v>46</v>
      </c>
      <c r="C47" s="0" t="inlineStr">
        <is>
          <t>Jogi</t>
        </is>
      </c>
      <c r="D47" s="0" t="inlineStr">
        <is>
          <t>thiarajxtt, Bir</t>
        </is>
      </c>
    </row>
    <row r="48">
      <c r="A48" s="0" t="inlineStr">
        <is>
          <t>2026-03-29</t>
        </is>
      </c>
      <c r="B48" s="0" t="n">
        <v>47</v>
      </c>
      <c r="C48" s="0" t="inlineStr">
        <is>
          <t>Mann Mera - Original Version</t>
        </is>
      </c>
      <c r="D48" s="0" t="inlineStr">
        <is>
          <t>Gajendra Verma</t>
        </is>
      </c>
    </row>
    <row r="49">
      <c r="A49" s="0" t="inlineStr">
        <is>
          <t>2026-03-29</t>
        </is>
      </c>
      <c r="B49" s="0" t="n">
        <v>48</v>
      </c>
      <c r="C49" s="0" t="inlineStr">
        <is>
          <t>Ehsaas</t>
        </is>
      </c>
      <c r="D49" s="0" t="inlineStr">
        <is>
          <t>Faheem Abdullah, Duha Shah, Vaibhav Pani, Hyder Dar</t>
        </is>
      </c>
    </row>
    <row r="50">
      <c r="A50" s="0" t="inlineStr">
        <is>
          <t>2026-03-29</t>
        </is>
      </c>
      <c r="B50" s="0" t="n">
        <v>49</v>
      </c>
      <c r="C50" s="0" t="inlineStr">
        <is>
          <t>Teri Deewani</t>
        </is>
      </c>
      <c r="D50" s="0" t="inlineStr">
        <is>
          <t>Kailash Kher, Paresh Kamath, Naresh Kamath</t>
        </is>
      </c>
    </row>
    <row r="51">
      <c r="A51" s="0" t="inlineStr">
        <is>
          <t>2026-03-29</t>
        </is>
      </c>
      <c r="B51" s="0" t="n">
        <v>50</v>
      </c>
      <c r="C51" s="0" t="inlineStr">
        <is>
          <t>Dealer</t>
        </is>
      </c>
      <c r="D51" s="0" t="inlineStr">
        <is>
          <t>Diljit Dosanjh, Da Future, Virk Andaaz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Date</t>
        </is>
      </c>
      <c r="B1" s="24" t="inlineStr">
        <is>
          <t>Rank</t>
        </is>
      </c>
      <c r="C1" s="24" t="inlineStr">
        <is>
          <t>Song</t>
        </is>
      </c>
      <c r="D1" s="24" t="inlineStr">
        <is>
          <t>Artist</t>
        </is>
      </c>
    </row>
    <row r="2">
      <c r="A2" s="0" t="inlineStr">
        <is>
          <t>2026-03-31</t>
        </is>
      </c>
      <c r="B2" s="0" t="n">
        <v>1</v>
      </c>
      <c r="C2" s="0" t="inlineStr">
        <is>
          <t>Bairan</t>
        </is>
      </c>
      <c r="D2" s="0" t="inlineStr">
        <is>
          <t>Banjaare</t>
        </is>
      </c>
    </row>
    <row r="3">
      <c r="A3" s="0" t="inlineStr">
        <is>
          <t>2026-03-31</t>
        </is>
      </c>
      <c r="B3" s="0" t="n">
        <v>2</v>
      </c>
      <c r="C3" s="0" t="inlineStr">
        <is>
          <t>Jaiye Sajana</t>
        </is>
      </c>
      <c r="D3" s="0" t="inlineStr">
        <is>
          <t>Shashwat Sachdev, Jasmine Sandlas, Satinder Sartaaj</t>
        </is>
      </c>
    </row>
    <row r="4">
      <c r="A4" s="0" t="inlineStr">
        <is>
          <t>2026-03-31</t>
        </is>
      </c>
      <c r="B4" s="0" t="n">
        <v>3</v>
      </c>
      <c r="C4" s="0" t="inlineStr">
        <is>
          <t>Gehra Hua</t>
        </is>
      </c>
      <c r="D4" s="0" t="inlineStr">
        <is>
          <t>Shashwat Sachdev, Arijit Singh, Irshad Kamil, Armaan Khan</t>
        </is>
      </c>
    </row>
    <row r="5">
      <c r="A5" s="0" t="inlineStr">
        <is>
          <t>2026-03-31</t>
        </is>
      </c>
      <c r="B5" s="0" t="n">
        <v>4</v>
      </c>
      <c r="C5" s="0" t="inlineStr">
        <is>
          <t>Sheesha - Aakhya Mai Aakh Ghali Jo Bairan</t>
        </is>
      </c>
      <c r="D5" s="0" t="inlineStr">
        <is>
          <t>Mitta Ror, Swara Verma</t>
        </is>
      </c>
    </row>
    <row r="6">
      <c r="A6" s="0" t="inlineStr">
        <is>
          <t>2026-03-31</t>
        </is>
      </c>
      <c r="B6" s="0" t="n">
        <v>5</v>
      </c>
      <c r="C6" s="0" t="inlineStr">
        <is>
          <t>Khat</t>
        </is>
      </c>
      <c r="D6" s="0" t="inlineStr">
        <is>
          <t>Navjot Ahuja</t>
        </is>
      </c>
    </row>
    <row r="7">
      <c r="A7" s="0" t="inlineStr">
        <is>
          <t>2026-03-31</t>
        </is>
      </c>
      <c r="B7" s="0" t="n">
        <v>6</v>
      </c>
      <c r="C7" s="0" t="inlineStr">
        <is>
          <t>Dhurandhar The Revenge - Aari Aari</t>
        </is>
      </c>
      <c r="D7" s="0" t="inlineStr">
        <is>
          <t>Shashwat Sachdev, Bombay Rockers, Irshad Kamil, Khan Saab, Reble, Token, Jasmine Sandlas, Sudhir Yaduvanshi</t>
        </is>
      </c>
    </row>
    <row r="8">
      <c r="A8" s="0" t="inlineStr">
        <is>
          <t>2026-03-31</t>
        </is>
      </c>
      <c r="B8" s="0" t="n">
        <v>7</v>
      </c>
      <c r="C8" s="0" t="inlineStr">
        <is>
          <t>Jaan Se Guzarte Hain</t>
        </is>
      </c>
      <c r="D8" s="0" t="inlineStr">
        <is>
          <t>Shashwat Sachdev, Khan Saab, Nusrat Fateh Ali Khan</t>
        </is>
      </c>
    </row>
    <row r="9">
      <c r="A9" s="0" t="inlineStr">
        <is>
          <t>2026-03-31</t>
        </is>
      </c>
      <c r="B9" s="0" t="n">
        <v>8</v>
      </c>
      <c r="C9" s="0" t="inlineStr">
        <is>
          <t>Sitaare (From "Ikkis")</t>
        </is>
      </c>
      <c r="D9" s="0" t="inlineStr">
        <is>
          <t>Arijit Singh, White Noise Collectives, Amitabh Bhattacharya</t>
        </is>
      </c>
    </row>
    <row r="10">
      <c r="A10" s="0" t="inlineStr">
        <is>
          <t>2026-03-31</t>
        </is>
      </c>
      <c r="B10" s="0" t="n">
        <v>9</v>
      </c>
      <c r="C10" s="0" t="inlineStr">
        <is>
          <t>Dooron Dooron</t>
        </is>
      </c>
      <c r="D10" s="0" t="inlineStr">
        <is>
          <t>Paresh Pahuja, Shiv Tandan, Meghdeep Bose</t>
        </is>
      </c>
    </row>
    <row r="11">
      <c r="A11" s="0" t="inlineStr">
        <is>
          <t>2026-03-31</t>
        </is>
      </c>
      <c r="B11" s="0" t="n">
        <v>10</v>
      </c>
      <c r="C11" s="0" t="inlineStr">
        <is>
          <t>Samjhawan</t>
        </is>
      </c>
      <c r="D11" s="0" t="inlineStr">
        <is>
          <t>Jawad Ahmad, Shaarib Toshi, Arijit Singh, Shreya Ghoshal</t>
        </is>
      </c>
    </row>
    <row r="12">
      <c r="A12" s="0" t="inlineStr">
        <is>
          <t>2026-03-31</t>
        </is>
      </c>
      <c r="B12" s="0" t="n">
        <v>11</v>
      </c>
      <c r="C12" s="0" t="inlineStr">
        <is>
          <t>Sahiba</t>
        </is>
      </c>
      <c r="D12" s="0" t="inlineStr">
        <is>
          <t>Aditya Rikhari</t>
        </is>
      </c>
    </row>
    <row r="13">
      <c r="A13" s="0" t="inlineStr">
        <is>
          <t>2026-03-31</t>
        </is>
      </c>
      <c r="B13" s="0" t="n">
        <v>12</v>
      </c>
      <c r="C13" s="0" t="inlineStr">
        <is>
          <t>Apna Bana Le</t>
        </is>
      </c>
      <c r="D13" s="0" t="inlineStr">
        <is>
          <t>Sachin-Jigar, Arijit Singh, Amitabh Bhattacharya</t>
        </is>
      </c>
    </row>
    <row r="14">
      <c r="A14" s="0" t="inlineStr">
        <is>
          <t>2026-03-31</t>
        </is>
      </c>
      <c r="B14" s="0" t="n">
        <v>13</v>
      </c>
      <c r="C14" s="0" t="inlineStr">
        <is>
          <t>Shararat</t>
        </is>
      </c>
      <c r="D14" s="0" t="inlineStr">
        <is>
          <t>Shashwat Sachdev, Madhubanti Bagchi, Jasmine Sandlas</t>
        </is>
      </c>
    </row>
    <row r="15">
      <c r="A15" s="0" t="inlineStr">
        <is>
          <t>2026-03-31</t>
        </is>
      </c>
      <c r="B15" s="0" t="n">
        <v>14</v>
      </c>
      <c r="C15" s="0" t="inlineStr">
        <is>
          <t>Finding Her</t>
        </is>
      </c>
      <c r="D15" s="0" t="inlineStr">
        <is>
          <t>Kushagra, Bharath, Saaheal</t>
        </is>
      </c>
    </row>
    <row r="16">
      <c r="A16" s="0" t="inlineStr">
        <is>
          <t>2026-03-31</t>
        </is>
      </c>
      <c r="B16" s="0" t="n">
        <v>15</v>
      </c>
      <c r="C16" s="0" t="inlineStr">
        <is>
          <t>Arz Kiya Hai | Coke Studio Bharat</t>
        </is>
      </c>
      <c r="D16" s="0" t="inlineStr">
        <is>
          <t>Anuv Jain</t>
        </is>
      </c>
    </row>
    <row r="17">
      <c r="A17" s="0" t="inlineStr">
        <is>
          <t>2026-03-31</t>
        </is>
      </c>
      <c r="B17" s="0" t="n">
        <v>16</v>
      </c>
      <c r="C17" s="0" t="inlineStr">
        <is>
          <t>Pavazha Malli - From "Think Indie"</t>
        </is>
      </c>
      <c r="D17" s="0" t="inlineStr">
        <is>
          <t>Sai Abhyankkar, Shruti Haasan, Vivek</t>
        </is>
      </c>
    </row>
    <row r="18">
      <c r="A18" s="0" t="inlineStr">
        <is>
          <t>2026-03-31</t>
        </is>
      </c>
      <c r="B18" s="0" t="n">
        <v>17</v>
      </c>
      <c r="C18" s="0" t="inlineStr">
        <is>
          <t>Dhurandhar - Title Track</t>
        </is>
      </c>
      <c r="D18" s="0" t="inlineStr">
        <is>
          <t>Shashwat Sachdev, Hanumankind, Jasmine Sandlas, Sudhir Yaduvanshi, Charanjit Ahuja, Muhammad Sadiq, Ranjit Kaur, Babu Singh Maan</t>
        </is>
      </c>
    </row>
    <row r="19">
      <c r="A19" s="0" t="inlineStr">
        <is>
          <t>2026-03-31</t>
        </is>
      </c>
      <c r="B19" s="0" t="n">
        <v>18</v>
      </c>
      <c r="C19" s="0" t="inlineStr">
        <is>
          <t>For A Reason</t>
        </is>
      </c>
      <c r="D19" s="0" t="inlineStr">
        <is>
          <t>Karan Aujla, Ikky</t>
        </is>
      </c>
    </row>
    <row r="20">
      <c r="A20" s="0" t="inlineStr">
        <is>
          <t>2026-03-31</t>
        </is>
      </c>
      <c r="B20" s="0" t="n">
        <v>19</v>
      </c>
      <c r="C20" s="0" t="inlineStr">
        <is>
          <t>Boyfriend</t>
        </is>
      </c>
      <c r="D20" s="0" t="inlineStr">
        <is>
          <t>Karan Aujla, Ikky</t>
        </is>
      </c>
    </row>
    <row r="21">
      <c r="A21" s="0" t="inlineStr">
        <is>
          <t>2026-03-31</t>
        </is>
      </c>
      <c r="B21" s="0" t="n">
        <v>20</v>
      </c>
      <c r="C21" s="0" t="inlineStr">
        <is>
          <t>Ishq</t>
        </is>
      </c>
      <c r="D21" s="0" t="inlineStr">
        <is>
          <t>Faheem Abdullah, Rauhan Malik, Amir Ameer</t>
        </is>
      </c>
    </row>
    <row r="22">
      <c r="A22" s="0" t="inlineStr">
        <is>
          <t>2026-03-31</t>
        </is>
      </c>
      <c r="B22" s="0" t="n">
        <v>21</v>
      </c>
      <c r="C22" s="0" t="inlineStr">
        <is>
          <t>Phir Se</t>
        </is>
      </c>
      <c r="D22" s="0" t="inlineStr">
        <is>
          <t>Shashwat Sachdev, Arijit Singh, Irshad Kamil</t>
        </is>
      </c>
    </row>
    <row r="23">
      <c r="A23" s="0" t="inlineStr">
        <is>
          <t>2026-03-31</t>
        </is>
      </c>
      <c r="B23" s="0" t="n">
        <v>22</v>
      </c>
      <c r="C23" s="0" t="inlineStr">
        <is>
          <t>Mann Mera</t>
        </is>
      </c>
      <c r="D23" s="0" t="inlineStr">
        <is>
          <t>Gajendra Verma</t>
        </is>
      </c>
    </row>
    <row r="24">
      <c r="A24" s="0" t="inlineStr">
        <is>
          <t>2026-03-31</t>
        </is>
      </c>
      <c r="B24" s="0" t="n">
        <v>23</v>
      </c>
      <c r="C24" s="0" t="inlineStr">
        <is>
          <t>Ishqa Ve</t>
        </is>
      </c>
      <c r="D24" s="0" t="inlineStr">
        <is>
          <t>Zeeshan Ali, Yuvraj Tung, Sandeep Aulakh, Honey Dhillon</t>
        </is>
      </c>
    </row>
    <row r="25">
      <c r="A25" s="0" t="inlineStr">
        <is>
          <t>2026-03-31</t>
        </is>
      </c>
      <c r="B25" s="0" t="n">
        <v>24</v>
      </c>
      <c r="C25" s="0" t="inlineStr">
        <is>
          <t>Bairi</t>
        </is>
      </c>
      <c r="D25" s="0" t="inlineStr">
        <is>
          <t>Virat, Pradeep Solanki, Heena</t>
        </is>
      </c>
    </row>
    <row r="26">
      <c r="A26" s="0" t="inlineStr">
        <is>
          <t>2026-03-31</t>
        </is>
      </c>
      <c r="B26" s="0" t="n">
        <v>25</v>
      </c>
      <c r="C26" s="0" t="inlineStr">
        <is>
          <t>Saiyaara</t>
        </is>
      </c>
      <c r="D26" s="0" t="inlineStr">
        <is>
          <t>Tanishk Bagchi, Faheem Abdullah, Arslan Nizami, Irshad Kamil</t>
        </is>
      </c>
    </row>
    <row r="27">
      <c r="A27" s="0" t="inlineStr">
        <is>
          <t>2026-03-31</t>
        </is>
      </c>
      <c r="B27" s="0" t="n">
        <v>26</v>
      </c>
      <c r="C27" s="0" t="inlineStr">
        <is>
          <t>Naal Nachna</t>
        </is>
      </c>
      <c r="D27" s="0" t="inlineStr">
        <is>
          <t>Shashwat Sachdev, Afsana Khan, Irshad Kamil, Reble</t>
        </is>
      </c>
    </row>
    <row r="28">
      <c r="A28" s="0" t="inlineStr">
        <is>
          <t>2026-03-31</t>
        </is>
      </c>
      <c r="B28" s="0" t="n">
        <v>27</v>
      </c>
      <c r="C28" s="0" t="inlineStr">
        <is>
          <t>Deewaana Deewaana</t>
        </is>
      </c>
      <c r="D28" s="0" t="inlineStr">
        <is>
          <t>A.R. Rahman, Irshad Kamil</t>
        </is>
      </c>
    </row>
    <row r="29">
      <c r="A29" s="0" t="inlineStr">
        <is>
          <t>2026-03-31</t>
        </is>
      </c>
      <c r="B29" s="0" t="n">
        <v>28</v>
      </c>
      <c r="C29" s="0" t="inlineStr">
        <is>
          <t>Tere Liye</t>
        </is>
      </c>
      <c r="D29" s="0" t="inlineStr">
        <is>
          <t>Atif Aslam, Shreya Ghoshal, Sachin Gupta, Sameer Anjaan</t>
        </is>
      </c>
    </row>
    <row r="30">
      <c r="A30" s="0" t="inlineStr">
        <is>
          <t>2026-03-31</t>
        </is>
      </c>
      <c r="B30" s="0" t="n">
        <v>29</v>
      </c>
      <c r="C30" s="0" t="inlineStr">
        <is>
          <t>Tum Ho Toh (From "Saiyaara")</t>
        </is>
      </c>
      <c r="D30" s="0" t="inlineStr">
        <is>
          <t>Vishal Mishra, Hansika Pareek, Raj Shekhar</t>
        </is>
      </c>
    </row>
    <row r="31">
      <c r="A31" s="0" t="inlineStr">
        <is>
          <t>2026-03-31</t>
        </is>
      </c>
      <c r="B31" s="0" t="n">
        <v>30</v>
      </c>
      <c r="C31" s="0" t="inlineStr">
        <is>
          <t>Tere Bina</t>
        </is>
      </c>
      <c r="D31" s="0" t="inlineStr">
        <is>
          <t>A.R. Rahman, Chinmayi, Murtuza Khan, Qadir Khan</t>
        </is>
      </c>
    </row>
    <row r="32">
      <c r="A32" s="0" t="inlineStr">
        <is>
          <t>2026-03-31</t>
        </is>
      </c>
      <c r="B32" s="0" t="n">
        <v>31</v>
      </c>
      <c r="C32" s="0" t="inlineStr">
        <is>
          <t>Darkhaast</t>
        </is>
      </c>
      <c r="D32" s="0" t="inlineStr">
        <is>
          <t>Mithoon, Arijit Singh, Sunidhi Chauhan, Sayeed Quadri</t>
        </is>
      </c>
    </row>
    <row r="33">
      <c r="A33" s="0" t="inlineStr">
        <is>
          <t>2026-03-31</t>
        </is>
      </c>
      <c r="B33" s="0" t="n">
        <v>32</v>
      </c>
      <c r="C33" s="0" t="inlineStr">
        <is>
          <t>Lutt Le Gaya</t>
        </is>
      </c>
      <c r="D33" s="0" t="inlineStr">
        <is>
          <t>Shashwat Sachdev, Simran Choudhary</t>
        </is>
      </c>
    </row>
    <row r="34">
      <c r="A34" s="0" t="inlineStr">
        <is>
          <t>2026-03-31</t>
        </is>
      </c>
      <c r="B34" s="0" t="n">
        <v>33</v>
      </c>
      <c r="C34" s="0" t="inlineStr">
        <is>
          <t>Run Down The City - Monica</t>
        </is>
      </c>
      <c r="D34" s="0" t="inlineStr">
        <is>
          <t>Shashwat Sachdev, Reble, Asha Bhosle, R. D. Burman, Majrooh Sultanpuri</t>
        </is>
      </c>
    </row>
    <row r="35">
      <c r="A35" s="0" t="inlineStr">
        <is>
          <t>2026-03-31</t>
        </is>
      </c>
      <c r="B35" s="0" t="n">
        <v>34</v>
      </c>
      <c r="C35" s="0" t="inlineStr">
        <is>
          <t>Main Aur Tu</t>
        </is>
      </c>
      <c r="D35" s="0" t="inlineStr">
        <is>
          <t>Shashwat Sachdev, Jasmine Sandlas, Reble</t>
        </is>
      </c>
    </row>
    <row r="36">
      <c r="A36" s="0" t="inlineStr">
        <is>
          <t>2026-03-31</t>
        </is>
      </c>
      <c r="B36" s="0" t="n">
        <v>35</v>
      </c>
      <c r="C36" s="0" t="inlineStr">
        <is>
          <t>Raanjhan (From "Do Patti")</t>
        </is>
      </c>
      <c r="D36" s="0" t="inlineStr">
        <is>
          <t>Sachet-Parampara, Parampara Tandon, Kausar Munir</t>
        </is>
      </c>
    </row>
    <row r="37">
      <c r="A37" s="0" t="inlineStr">
        <is>
          <t>2026-03-31</t>
        </is>
      </c>
      <c r="B37" s="0" t="n">
        <v>36</v>
      </c>
      <c r="C37" s="0" t="inlineStr">
        <is>
          <t>Agar Tum Saath Ho (From "Tamasha")</t>
        </is>
      </c>
      <c r="D37" s="0" t="inlineStr">
        <is>
          <t>Alka Yagnik, Arijit Singh</t>
        </is>
      </c>
    </row>
    <row r="38">
      <c r="A38" s="0" t="inlineStr">
        <is>
          <t>2026-03-31</t>
        </is>
      </c>
      <c r="B38" s="0" t="n">
        <v>37</v>
      </c>
      <c r="C38" s="0" t="inlineStr">
        <is>
          <t>Jo Tum Mere Ho</t>
        </is>
      </c>
      <c r="D38" s="0" t="inlineStr">
        <is>
          <t>Anuv Jain</t>
        </is>
      </c>
    </row>
    <row r="39">
      <c r="A39" s="0" t="inlineStr">
        <is>
          <t>2026-03-31</t>
        </is>
      </c>
      <c r="B39" s="0" t="n">
        <v>38</v>
      </c>
      <c r="C39" s="0" t="inlineStr">
        <is>
          <t>Ishq Jalakar - Karvaan</t>
        </is>
      </c>
      <c r="D39" s="0" t="inlineStr">
        <is>
          <t>Shashwat Sachdev, Shahzad Ali, Subhadeep Das Chowdhury, Armaan Khan, Irshad Kamil, Roshan, Sahir Ludhianvi</t>
        </is>
      </c>
    </row>
    <row r="40">
      <c r="A40" s="0" t="inlineStr">
        <is>
          <t>2026-03-31</t>
        </is>
      </c>
      <c r="B40" s="0" t="n">
        <v>39</v>
      </c>
      <c r="C40" s="0" t="inlineStr">
        <is>
          <t>Haseen</t>
        </is>
      </c>
      <c r="D40" s="0" t="inlineStr">
        <is>
          <t>Talwiinder, NDS, Rippy Grewal</t>
        </is>
      </c>
    </row>
    <row r="41">
      <c r="A41" s="0" t="inlineStr">
        <is>
          <t>2026-03-31</t>
        </is>
      </c>
      <c r="B41" s="0" t="n">
        <v>40</v>
      </c>
      <c r="C41" s="0" t="inlineStr">
        <is>
          <t>Ye Tune Kya Kiya</t>
        </is>
      </c>
      <c r="D41" s="0" t="inlineStr">
        <is>
          <t>Pritam, Javed Bashir, Rajat Arora</t>
        </is>
      </c>
    </row>
    <row r="42">
      <c r="A42" s="0" t="inlineStr">
        <is>
          <t>2026-03-31</t>
        </is>
      </c>
      <c r="B42" s="0" t="n">
        <v>41</v>
      </c>
      <c r="C42" s="0" t="inlineStr">
        <is>
          <t>Barbaad (From "Saiyaara")</t>
        </is>
      </c>
      <c r="D42" s="0" t="inlineStr">
        <is>
          <t>The Rish, Jubin Nautiyal</t>
        </is>
      </c>
    </row>
    <row r="43">
      <c r="A43" s="0" t="inlineStr">
        <is>
          <t>2026-03-31</t>
        </is>
      </c>
      <c r="B43" s="0" t="n">
        <v>42</v>
      </c>
      <c r="C43" s="0" t="inlineStr">
        <is>
          <t>Mutta Kalakki (From "Youth")</t>
        </is>
      </c>
      <c r="D43" s="0" t="inlineStr">
        <is>
          <t>G. V. Prakash, Ken Karunaas</t>
        </is>
      </c>
    </row>
    <row r="44">
      <c r="A44" s="0" t="inlineStr">
        <is>
          <t>2026-03-31</t>
        </is>
      </c>
      <c r="B44" s="0" t="n">
        <v>43</v>
      </c>
      <c r="C44" s="0" t="inlineStr">
        <is>
          <t>Vaari Jaavan</t>
        </is>
      </c>
      <c r="D44" s="0" t="inlineStr">
        <is>
          <t>Shashwat Sachdev, Jyoti Nooran, Jasmine Sandlas, Reble</t>
        </is>
      </c>
    </row>
    <row r="45">
      <c r="A45" s="0" t="inlineStr">
        <is>
          <t>2026-03-31</t>
        </is>
      </c>
      <c r="B45" s="0" t="n">
        <v>44</v>
      </c>
      <c r="C45" s="0" t="inlineStr">
        <is>
          <t>Jogi</t>
        </is>
      </c>
      <c r="D45" s="0" t="inlineStr">
        <is>
          <t>thiarajxtt, Bir</t>
        </is>
      </c>
    </row>
    <row r="46">
      <c r="A46" s="0" t="inlineStr">
        <is>
          <t>2026-03-31</t>
        </is>
      </c>
      <c r="B46" s="0" t="n">
        <v>45</v>
      </c>
      <c r="C46" s="0" t="inlineStr">
        <is>
          <t>Aaya Sher (From "The Paradise") (Telugu)</t>
        </is>
      </c>
      <c r="D46" s="0" t="inlineStr">
        <is>
          <t>Anirudh Ravichander, Jangi Reddy, Arjun Chandy, Kasarla Shyam</t>
        </is>
      </c>
    </row>
    <row r="47">
      <c r="A47" s="0" t="inlineStr">
        <is>
          <t>2026-03-31</t>
        </is>
      </c>
      <c r="B47" s="0" t="n">
        <v>46</v>
      </c>
      <c r="C47" s="0" t="inlineStr">
        <is>
          <t>Ehsaas</t>
        </is>
      </c>
      <c r="D47" s="0" t="inlineStr">
        <is>
          <t>Faheem Abdullah, Duha Shah, Vaibhav Pani, Hyder Dar</t>
        </is>
      </c>
    </row>
    <row r="48">
      <c r="A48" s="0" t="inlineStr">
        <is>
          <t>2026-03-31</t>
        </is>
      </c>
      <c r="B48" s="0" t="n">
        <v>47</v>
      </c>
      <c r="C48" s="0" t="inlineStr">
        <is>
          <t>SWIM</t>
        </is>
      </c>
      <c r="D48" s="0" t="inlineStr">
        <is>
          <t>BTS</t>
        </is>
      </c>
    </row>
    <row r="49">
      <c r="A49" s="0" t="inlineStr">
        <is>
          <t>2026-03-31</t>
        </is>
      </c>
      <c r="B49" s="0" t="n">
        <v>48</v>
      </c>
      <c r="C49" s="0" t="inlineStr">
        <is>
          <t>Hum Pyaar Karne Wale</t>
        </is>
      </c>
      <c r="D49" s="0" t="inlineStr">
        <is>
          <t>Shashwat Sachdev, Anuradha Paudwal, Udit Narayan, Anand-Milind, Sameer Anjaan, Qveen Herby</t>
        </is>
      </c>
    </row>
    <row r="50">
      <c r="A50" s="0" t="inlineStr">
        <is>
          <t>2026-03-31</t>
        </is>
      </c>
      <c r="B50" s="0" t="n">
        <v>49</v>
      </c>
      <c r="C50" s="0" t="inlineStr">
        <is>
          <t>Teri Deewani</t>
        </is>
      </c>
      <c r="D50" s="0" t="inlineStr">
        <is>
          <t>Kailash Kher, Paresh Kamath, Naresh Kamath</t>
        </is>
      </c>
    </row>
    <row r="51">
      <c r="A51" s="0" t="inlineStr">
        <is>
          <t>2026-03-31</t>
        </is>
      </c>
      <c r="B51" s="0" t="n">
        <v>50</v>
      </c>
      <c r="C51" s="0" t="inlineStr">
        <is>
          <t>Mast Magan (From "2 States)</t>
        </is>
      </c>
      <c r="D51" s="0" t="inlineStr">
        <is>
          <t>Arijit Singh, Chinmayi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Date</t>
        </is>
      </c>
      <c r="B1" s="24" t="inlineStr">
        <is>
          <t>Rank</t>
        </is>
      </c>
      <c r="C1" s="24" t="inlineStr">
        <is>
          <t>Song</t>
        </is>
      </c>
      <c r="D1" s="24" t="inlineStr">
        <is>
          <t>Artist</t>
        </is>
      </c>
    </row>
    <row r="2">
      <c r="A2" s="0" t="inlineStr">
        <is>
          <t>2026-04-01</t>
        </is>
      </c>
      <c r="B2" s="0" t="n">
        <v>1</v>
      </c>
      <c r="C2" s="0" t="inlineStr">
        <is>
          <t>Bairan</t>
        </is>
      </c>
      <c r="D2" s="0" t="inlineStr">
        <is>
          <t>Banjaare</t>
        </is>
      </c>
    </row>
    <row r="3">
      <c r="A3" s="0" t="inlineStr">
        <is>
          <t>2026-04-01</t>
        </is>
      </c>
      <c r="B3" s="0" t="n">
        <v>2</v>
      </c>
      <c r="C3" s="0" t="inlineStr">
        <is>
          <t>Jaiye Sajana</t>
        </is>
      </c>
      <c r="D3" s="0" t="inlineStr">
        <is>
          <t>Shashwat Sachdev, Jasmine Sandlas, Satinder Sartaaj</t>
        </is>
      </c>
    </row>
    <row r="4">
      <c r="A4" s="0" t="inlineStr">
        <is>
          <t>2026-04-01</t>
        </is>
      </c>
      <c r="B4" s="0" t="n">
        <v>3</v>
      </c>
      <c r="C4" s="0" t="inlineStr">
        <is>
          <t>Sheesha - Aakhya Mai Aakh Ghali Jo Bairan</t>
        </is>
      </c>
      <c r="D4" s="0" t="inlineStr">
        <is>
          <t>Mitta Ror, Swara Verma</t>
        </is>
      </c>
    </row>
    <row r="5">
      <c r="A5" s="0" t="inlineStr">
        <is>
          <t>2026-04-01</t>
        </is>
      </c>
      <c r="B5" s="0" t="n">
        <v>4</v>
      </c>
      <c r="C5" s="0" t="inlineStr">
        <is>
          <t>Gehra Hua</t>
        </is>
      </c>
      <c r="D5" s="0" t="inlineStr">
        <is>
          <t>Shashwat Sachdev, Arijit Singh, Irshad Kamil, Armaan Khan</t>
        </is>
      </c>
    </row>
    <row r="6">
      <c r="A6" s="0" t="inlineStr">
        <is>
          <t>2026-04-01</t>
        </is>
      </c>
      <c r="B6" s="0" t="n">
        <v>5</v>
      </c>
      <c r="C6" s="0" t="inlineStr">
        <is>
          <t>Khat</t>
        </is>
      </c>
      <c r="D6" s="0" t="inlineStr">
        <is>
          <t>Navjot Ahuja</t>
        </is>
      </c>
    </row>
    <row r="7">
      <c r="A7" s="0" t="inlineStr">
        <is>
          <t>2026-04-01</t>
        </is>
      </c>
      <c r="B7" s="0" t="n">
        <v>6</v>
      </c>
      <c r="C7" s="0" t="inlineStr">
        <is>
          <t>Dhurandhar The Revenge - Aari Aari</t>
        </is>
      </c>
      <c r="D7" s="0" t="inlineStr">
        <is>
          <t>Shashwat Sachdev, Bombay Rockers, Irshad Kamil, Khan Saab, Reble, Token, Jasmine Sandlas, Sudhir Yaduvanshi</t>
        </is>
      </c>
    </row>
    <row r="8">
      <c r="A8" s="0" t="inlineStr">
        <is>
          <t>2026-04-01</t>
        </is>
      </c>
      <c r="B8" s="0" t="n">
        <v>7</v>
      </c>
      <c r="C8" s="0" t="inlineStr">
        <is>
          <t>Jaan Se Guzarte Hain</t>
        </is>
      </c>
      <c r="D8" s="0" t="inlineStr">
        <is>
          <t>Shashwat Sachdev, Khan Saab, Nusrat Fateh Ali Khan</t>
        </is>
      </c>
    </row>
    <row r="9">
      <c r="A9" s="0" t="inlineStr">
        <is>
          <t>2026-04-01</t>
        </is>
      </c>
      <c r="B9" s="0" t="n">
        <v>8</v>
      </c>
      <c r="C9" s="0" t="inlineStr">
        <is>
          <t>Dooron Dooron</t>
        </is>
      </c>
      <c r="D9" s="0" t="inlineStr">
        <is>
          <t>Paresh Pahuja, Shiv Tandan, Meghdeep Bose</t>
        </is>
      </c>
    </row>
    <row r="10">
      <c r="A10" s="0" t="inlineStr">
        <is>
          <t>2026-04-01</t>
        </is>
      </c>
      <c r="B10" s="0" t="n">
        <v>9</v>
      </c>
      <c r="C10" s="0" t="inlineStr">
        <is>
          <t>Sitaare (From "Ikkis")</t>
        </is>
      </c>
      <c r="D10" s="0" t="inlineStr">
        <is>
          <t>Arijit Singh, White Noise Collectives, Amitabh Bhattacharya</t>
        </is>
      </c>
    </row>
    <row r="11">
      <c r="A11" s="0" t="inlineStr">
        <is>
          <t>2026-04-01</t>
        </is>
      </c>
      <c r="B11" s="0" t="n">
        <v>10</v>
      </c>
      <c r="C11" s="0" t="inlineStr">
        <is>
          <t>Sahiba</t>
        </is>
      </c>
      <c r="D11" s="0" t="inlineStr">
        <is>
          <t>Aditya Rikhari</t>
        </is>
      </c>
    </row>
    <row r="12">
      <c r="A12" s="0" t="inlineStr">
        <is>
          <t>2026-04-01</t>
        </is>
      </c>
      <c r="B12" s="0" t="n">
        <v>11</v>
      </c>
      <c r="C12" s="0" t="inlineStr">
        <is>
          <t>Apna Bana Le</t>
        </is>
      </c>
      <c r="D12" s="0" t="inlineStr">
        <is>
          <t>Sachin-Jigar, Arijit Singh, Amitabh Bhattacharya</t>
        </is>
      </c>
    </row>
    <row r="13">
      <c r="A13" s="0" t="inlineStr">
        <is>
          <t>2026-04-01</t>
        </is>
      </c>
      <c r="B13" s="0" t="n">
        <v>12</v>
      </c>
      <c r="C13" s="0" t="inlineStr">
        <is>
          <t>Pavazha Malli - From "Think Indie"</t>
        </is>
      </c>
      <c r="D13" s="0" t="inlineStr">
        <is>
          <t>Sai Abhyankkar, Shruti Haasan, Vivek</t>
        </is>
      </c>
    </row>
    <row r="14">
      <c r="A14" s="0" t="inlineStr">
        <is>
          <t>2026-04-01</t>
        </is>
      </c>
      <c r="B14" s="0" t="n">
        <v>13</v>
      </c>
      <c r="C14" s="0" t="inlineStr">
        <is>
          <t>Samjhawan</t>
        </is>
      </c>
      <c r="D14" s="0" t="inlineStr">
        <is>
          <t>Jawad Ahmad, Shaarib Toshi, Arijit Singh, Shreya Ghoshal</t>
        </is>
      </c>
    </row>
    <row r="15">
      <c r="A15" s="0" t="inlineStr">
        <is>
          <t>2026-04-01</t>
        </is>
      </c>
      <c r="B15" s="0" t="n">
        <v>14</v>
      </c>
      <c r="C15" s="0" t="inlineStr">
        <is>
          <t>Finding Her</t>
        </is>
      </c>
      <c r="D15" s="0" t="inlineStr">
        <is>
          <t>Kushagra, Bharath, Saaheal</t>
        </is>
      </c>
    </row>
    <row r="16">
      <c r="A16" s="0" t="inlineStr">
        <is>
          <t>2026-04-01</t>
        </is>
      </c>
      <c r="B16" s="0" t="n">
        <v>15</v>
      </c>
      <c r="C16" s="0" t="inlineStr">
        <is>
          <t>Shararat</t>
        </is>
      </c>
      <c r="D16" s="0" t="inlineStr">
        <is>
          <t>Shashwat Sachdev, Madhubanti Bagchi, Jasmine Sandlas</t>
        </is>
      </c>
    </row>
    <row r="17">
      <c r="A17" s="0" t="inlineStr">
        <is>
          <t>2026-04-01</t>
        </is>
      </c>
      <c r="B17" s="0" t="n">
        <v>16</v>
      </c>
      <c r="C17" s="0" t="inlineStr">
        <is>
          <t>Arz Kiya Hai | Coke Studio Bharat</t>
        </is>
      </c>
      <c r="D17" s="0" t="inlineStr">
        <is>
          <t>Anuv Jain</t>
        </is>
      </c>
    </row>
    <row r="18">
      <c r="A18" s="0" t="inlineStr">
        <is>
          <t>2026-04-01</t>
        </is>
      </c>
      <c r="B18" s="0" t="n">
        <v>17</v>
      </c>
      <c r="C18" s="0" t="inlineStr">
        <is>
          <t>Dhurandhar - Title Track</t>
        </is>
      </c>
      <c r="D18" s="0" t="inlineStr">
        <is>
          <t>Shashwat Sachdev, Hanumankind, Jasmine Sandlas, Sudhir Yaduvanshi, Charanjit Ahuja, Muhammad Sadiq, Ranjit Kaur, Babu Singh Maan</t>
        </is>
      </c>
    </row>
    <row r="19">
      <c r="A19" s="0" t="inlineStr">
        <is>
          <t>2026-04-01</t>
        </is>
      </c>
      <c r="B19" s="0" t="n">
        <v>18</v>
      </c>
      <c r="C19" s="0" t="inlineStr">
        <is>
          <t>Boyfriend</t>
        </is>
      </c>
      <c r="D19" s="0" t="inlineStr">
        <is>
          <t>Karan Aujla, Ikky</t>
        </is>
      </c>
    </row>
    <row r="20">
      <c r="A20" s="0" t="inlineStr">
        <is>
          <t>2026-04-01</t>
        </is>
      </c>
      <c r="B20" s="0" t="n">
        <v>19</v>
      </c>
      <c r="C20" s="0" t="inlineStr">
        <is>
          <t>Ishq</t>
        </is>
      </c>
      <c r="D20" s="0" t="inlineStr">
        <is>
          <t>Faheem Abdullah, Rauhan Malik, Amir Ameer</t>
        </is>
      </c>
    </row>
    <row r="21">
      <c r="A21" s="0" t="inlineStr">
        <is>
          <t>2026-04-01</t>
        </is>
      </c>
      <c r="B21" s="0" t="n">
        <v>20</v>
      </c>
      <c r="C21" s="0" t="inlineStr">
        <is>
          <t>Phir Se</t>
        </is>
      </c>
      <c r="D21" s="0" t="inlineStr">
        <is>
          <t>Shashwat Sachdev, Arijit Singh, Irshad Kamil</t>
        </is>
      </c>
    </row>
    <row r="22">
      <c r="A22" s="0" t="inlineStr">
        <is>
          <t>2026-04-01</t>
        </is>
      </c>
      <c r="B22" s="0" t="n">
        <v>21</v>
      </c>
      <c r="C22" s="0" t="inlineStr">
        <is>
          <t>Mann Mera</t>
        </is>
      </c>
      <c r="D22" s="0" t="inlineStr">
        <is>
          <t>Gajendra Verma</t>
        </is>
      </c>
    </row>
    <row r="23">
      <c r="A23" s="0" t="inlineStr">
        <is>
          <t>2026-04-01</t>
        </is>
      </c>
      <c r="B23" s="0" t="n">
        <v>22</v>
      </c>
      <c r="C23" s="0" t="inlineStr">
        <is>
          <t>Bairi</t>
        </is>
      </c>
      <c r="D23" s="0" t="inlineStr">
        <is>
          <t>Virat, Pradeep Solanki, Heena</t>
        </is>
      </c>
    </row>
    <row r="24">
      <c r="A24" s="0" t="inlineStr">
        <is>
          <t>2026-04-01</t>
        </is>
      </c>
      <c r="B24" s="0" t="n">
        <v>23</v>
      </c>
      <c r="C24" s="0" t="inlineStr">
        <is>
          <t>Naal Nachna</t>
        </is>
      </c>
      <c r="D24" s="0" t="inlineStr">
        <is>
          <t>Shashwat Sachdev, Afsana Khan, Irshad Kamil, Reble</t>
        </is>
      </c>
    </row>
    <row r="25">
      <c r="A25" s="0" t="inlineStr">
        <is>
          <t>2026-04-01</t>
        </is>
      </c>
      <c r="B25" s="0" t="n">
        <v>24</v>
      </c>
      <c r="C25" s="0" t="inlineStr">
        <is>
          <t>Saiyaara</t>
        </is>
      </c>
      <c r="D25" s="0" t="inlineStr">
        <is>
          <t>Tanishk Bagchi, Faheem Abdullah, Arslan Nizami, Irshad Kamil</t>
        </is>
      </c>
    </row>
    <row r="26">
      <c r="A26" s="0" t="inlineStr">
        <is>
          <t>2026-04-01</t>
        </is>
      </c>
      <c r="B26" s="0" t="n">
        <v>25</v>
      </c>
      <c r="C26" s="0" t="inlineStr">
        <is>
          <t>For A Reason</t>
        </is>
      </c>
      <c r="D26" s="0" t="inlineStr">
        <is>
          <t>Karan Aujla, Ikky</t>
        </is>
      </c>
    </row>
    <row r="27">
      <c r="A27" s="0" t="inlineStr">
        <is>
          <t>2026-04-01</t>
        </is>
      </c>
      <c r="B27" s="0" t="n">
        <v>26</v>
      </c>
      <c r="C27" s="0" t="inlineStr">
        <is>
          <t>Run Down The City - Monica</t>
        </is>
      </c>
      <c r="D27" s="0" t="inlineStr">
        <is>
          <t>Shashwat Sachdev, Reble, Asha Bhosle, R. D. Burman, Majrooh Sultanpuri</t>
        </is>
      </c>
    </row>
    <row r="28">
      <c r="A28" s="0" t="inlineStr">
        <is>
          <t>2026-04-01</t>
        </is>
      </c>
      <c r="B28" s="0" t="n">
        <v>27</v>
      </c>
      <c r="C28" s="0" t="inlineStr">
        <is>
          <t>Darkhaast</t>
        </is>
      </c>
      <c r="D28" s="0" t="inlineStr">
        <is>
          <t>Mithoon, Arijit Singh, Sunidhi Chauhan, Sayeed Quadri</t>
        </is>
      </c>
    </row>
    <row r="29">
      <c r="A29" s="0" t="inlineStr">
        <is>
          <t>2026-04-01</t>
        </is>
      </c>
      <c r="B29" s="0" t="n">
        <v>28</v>
      </c>
      <c r="C29" s="0" t="inlineStr">
        <is>
          <t>Ishqa Ve</t>
        </is>
      </c>
      <c r="D29" s="0" t="inlineStr">
        <is>
          <t>Zeeshan Ali, Yuvraj Tung, Sandeep Aulakh, Honey Dhillon</t>
        </is>
      </c>
    </row>
    <row r="30">
      <c r="A30" s="0" t="inlineStr">
        <is>
          <t>2026-04-01</t>
        </is>
      </c>
      <c r="B30" s="0" t="n">
        <v>29</v>
      </c>
      <c r="C30" s="0" t="inlineStr">
        <is>
          <t>Tum Ho Toh (From "Saiyaara")</t>
        </is>
      </c>
      <c r="D30" s="0" t="inlineStr">
        <is>
          <t>Vishal Mishra, Hansika Pareek, Raj Shekhar</t>
        </is>
      </c>
    </row>
    <row r="31">
      <c r="A31" s="0" t="inlineStr">
        <is>
          <t>2026-04-01</t>
        </is>
      </c>
      <c r="B31" s="0" t="n">
        <v>30</v>
      </c>
      <c r="C31" s="0" t="inlineStr">
        <is>
          <t>Deewaana Deewaana</t>
        </is>
      </c>
      <c r="D31" s="0" t="inlineStr">
        <is>
          <t>A.R. Rahman, Irshad Kamil</t>
        </is>
      </c>
    </row>
    <row r="32">
      <c r="A32" s="0" t="inlineStr">
        <is>
          <t>2026-04-01</t>
        </is>
      </c>
      <c r="B32" s="0" t="n">
        <v>31</v>
      </c>
      <c r="C32" s="0" t="inlineStr">
        <is>
          <t>Tere Liye</t>
        </is>
      </c>
      <c r="D32" s="0" t="inlineStr">
        <is>
          <t>Atif Aslam, Shreya Ghoshal, Sachin Gupta, Sameer Anjaan</t>
        </is>
      </c>
    </row>
    <row r="33">
      <c r="A33" s="0" t="inlineStr">
        <is>
          <t>2026-04-01</t>
        </is>
      </c>
      <c r="B33" s="0" t="n">
        <v>32</v>
      </c>
      <c r="C33" s="0" t="inlineStr">
        <is>
          <t>Lutt Le Gaya</t>
        </is>
      </c>
      <c r="D33" s="0" t="inlineStr">
        <is>
          <t>Shashwat Sachdev, Simran Choudhary</t>
        </is>
      </c>
    </row>
    <row r="34">
      <c r="A34" s="0" t="inlineStr">
        <is>
          <t>2026-04-01</t>
        </is>
      </c>
      <c r="B34" s="0" t="n">
        <v>33</v>
      </c>
      <c r="C34" s="0" t="inlineStr">
        <is>
          <t>Raanjhan (From "Do Patti")</t>
        </is>
      </c>
      <c r="D34" s="0" t="inlineStr">
        <is>
          <t>Sachet-Parampara, Parampara Tandon, Kausar Munir</t>
        </is>
      </c>
    </row>
    <row r="35">
      <c r="A35" s="0" t="inlineStr">
        <is>
          <t>2026-04-01</t>
        </is>
      </c>
      <c r="B35" s="0" t="n">
        <v>34</v>
      </c>
      <c r="C35" s="0" t="inlineStr">
        <is>
          <t>Main Aur Tu</t>
        </is>
      </c>
      <c r="D35" s="0" t="inlineStr">
        <is>
          <t>Shashwat Sachdev, Jasmine Sandlas, Reble</t>
        </is>
      </c>
    </row>
    <row r="36">
      <c r="A36" s="0" t="inlineStr">
        <is>
          <t>2026-04-01</t>
        </is>
      </c>
      <c r="B36" s="0" t="n">
        <v>35</v>
      </c>
      <c r="C36" s="0" t="inlineStr">
        <is>
          <t>Haseen</t>
        </is>
      </c>
      <c r="D36" s="0" t="inlineStr">
        <is>
          <t>Talwiinder, NDS, Rippy Grewal</t>
        </is>
      </c>
    </row>
    <row r="37">
      <c r="A37" s="0" t="inlineStr">
        <is>
          <t>2026-04-01</t>
        </is>
      </c>
      <c r="B37" s="0" t="n">
        <v>36</v>
      </c>
      <c r="C37" s="0" t="inlineStr">
        <is>
          <t>Jo Tum Mere Ho</t>
        </is>
      </c>
      <c r="D37" s="0" t="inlineStr">
        <is>
          <t>Anuv Jain</t>
        </is>
      </c>
    </row>
    <row r="38">
      <c r="A38" s="0" t="inlineStr">
        <is>
          <t>2026-04-01</t>
        </is>
      </c>
      <c r="B38" s="0" t="n">
        <v>37</v>
      </c>
      <c r="C38" s="0" t="inlineStr">
        <is>
          <t>Agar Tum Saath Ho (From "Tamasha")</t>
        </is>
      </c>
      <c r="D38" s="0" t="inlineStr">
        <is>
          <t>Alka Yagnik, Arijit Singh</t>
        </is>
      </c>
    </row>
    <row r="39">
      <c r="A39" s="0" t="inlineStr">
        <is>
          <t>2026-04-01</t>
        </is>
      </c>
      <c r="B39" s="0" t="n">
        <v>38</v>
      </c>
      <c r="C39" s="0" t="inlineStr">
        <is>
          <t>Tere Bina</t>
        </is>
      </c>
      <c r="D39" s="0" t="inlineStr">
        <is>
          <t>A.R. Rahman, Chinmayi, Murtuza Khan, Qadir Khan</t>
        </is>
      </c>
    </row>
    <row r="40">
      <c r="A40" s="0" t="inlineStr">
        <is>
          <t>2026-04-01</t>
        </is>
      </c>
      <c r="B40" s="0" t="n">
        <v>39</v>
      </c>
      <c r="C40" s="0" t="inlineStr">
        <is>
          <t>Barbaad (From "Saiyaara")</t>
        </is>
      </c>
      <c r="D40" s="0" t="inlineStr">
        <is>
          <t>The Rish, Jubin Nautiyal</t>
        </is>
      </c>
    </row>
    <row r="41">
      <c r="A41" s="0" t="inlineStr">
        <is>
          <t>2026-04-01</t>
        </is>
      </c>
      <c r="B41" s="0" t="n">
        <v>40</v>
      </c>
      <c r="C41" s="0" t="inlineStr">
        <is>
          <t>Ishq Jalakar - Karvaan</t>
        </is>
      </c>
      <c r="D41" s="0" t="inlineStr">
        <is>
          <t>Shashwat Sachdev, Shahzad Ali, Subhadeep Das Chowdhury, Armaan Khan, Irshad Kamil, Roshan, Sahir Ludhianvi</t>
        </is>
      </c>
    </row>
    <row r="42">
      <c r="A42" s="0" t="inlineStr">
        <is>
          <t>2026-04-01</t>
        </is>
      </c>
      <c r="B42" s="0" t="n">
        <v>41</v>
      </c>
      <c r="C42" s="0" t="inlineStr">
        <is>
          <t>Ye Tune Kya Kiya</t>
        </is>
      </c>
      <c r="D42" s="0" t="inlineStr">
        <is>
          <t>Pritam, Javed Bashir, Rajat Arora</t>
        </is>
      </c>
    </row>
    <row r="43">
      <c r="A43" s="0" t="inlineStr">
        <is>
          <t>2026-04-01</t>
        </is>
      </c>
      <c r="B43" s="0" t="n">
        <v>42</v>
      </c>
      <c r="C43" s="0" t="inlineStr">
        <is>
          <t>Aaya Sher (From "The Paradise") (Telugu)</t>
        </is>
      </c>
      <c r="D43" s="0" t="inlineStr">
        <is>
          <t>Anirudh Ravichander, Jangi Reddy, Arjun Chandy, Kasarla Shyam</t>
        </is>
      </c>
    </row>
    <row r="44">
      <c r="A44" s="0" t="inlineStr">
        <is>
          <t>2026-04-01</t>
        </is>
      </c>
      <c r="B44" s="0" t="n">
        <v>43</v>
      </c>
      <c r="C44" s="0" t="inlineStr">
        <is>
          <t>Teri Deewani</t>
        </is>
      </c>
      <c r="D44" s="0" t="inlineStr">
        <is>
          <t>Kailash Kher, Paresh Kamath, Naresh Kamath</t>
        </is>
      </c>
    </row>
    <row r="45">
      <c r="A45" s="0" t="inlineStr">
        <is>
          <t>2026-04-01</t>
        </is>
      </c>
      <c r="B45" s="0" t="n">
        <v>44</v>
      </c>
      <c r="C45" s="0" t="inlineStr">
        <is>
          <t>Mast Magan (From "2 States)</t>
        </is>
      </c>
      <c r="D45" s="0" t="inlineStr">
        <is>
          <t>Arijit Singh, Chinmayi</t>
        </is>
      </c>
    </row>
    <row r="46">
      <c r="A46" s="0" t="inlineStr">
        <is>
          <t>2026-04-01</t>
        </is>
      </c>
      <c r="B46" s="0" t="n">
        <v>45</v>
      </c>
      <c r="C46" s="0" t="inlineStr">
        <is>
          <t>Vaari Jaavan</t>
        </is>
      </c>
      <c r="D46" s="0" t="inlineStr">
        <is>
          <t>Shashwat Sachdev, Jyoti Nooran, Jasmine Sandlas, Reble</t>
        </is>
      </c>
    </row>
    <row r="47">
      <c r="A47" s="0" t="inlineStr">
        <is>
          <t>2026-04-01</t>
        </is>
      </c>
      <c r="B47" s="0" t="n">
        <v>46</v>
      </c>
      <c r="C47" s="0" t="inlineStr">
        <is>
          <t>Ehsaas</t>
        </is>
      </c>
      <c r="D47" s="0" t="inlineStr">
        <is>
          <t>Faheem Abdullah, Duha Shah, Vaibhav Pani, Hyder Dar</t>
        </is>
      </c>
    </row>
    <row r="48">
      <c r="A48" s="0" t="inlineStr">
        <is>
          <t>2026-04-01</t>
        </is>
      </c>
      <c r="B48" s="0" t="n">
        <v>47</v>
      </c>
      <c r="C48" s="0" t="inlineStr">
        <is>
          <t>Mann Mera - Original Version</t>
        </is>
      </c>
      <c r="D48" s="0" t="inlineStr">
        <is>
          <t>Gajendra Verma</t>
        </is>
      </c>
    </row>
    <row r="49">
      <c r="A49" s="0" t="inlineStr">
        <is>
          <t>2026-04-01</t>
        </is>
      </c>
      <c r="B49" s="0" t="n">
        <v>48</v>
      </c>
      <c r="C49" s="0" t="inlineStr">
        <is>
          <t>Hum Pyaar Karne Wale</t>
        </is>
      </c>
      <c r="D49" s="0" t="inlineStr">
        <is>
          <t>Shashwat Sachdev, Anuradha Paudwal, Udit Narayan, Anand-Milind, Sameer Anjaan, Qveen Herby</t>
        </is>
      </c>
    </row>
    <row r="50">
      <c r="A50" s="0" t="inlineStr">
        <is>
          <t>2026-04-01</t>
        </is>
      </c>
      <c r="B50" s="0" t="n">
        <v>49</v>
      </c>
      <c r="C50" s="0" t="inlineStr">
        <is>
          <t>Not Guilty</t>
        </is>
      </c>
      <c r="D50" s="0" t="inlineStr">
        <is>
          <t>Dhanda Nyoliwala</t>
        </is>
      </c>
    </row>
    <row r="51">
      <c r="A51" s="0" t="inlineStr">
        <is>
          <t>2026-04-01</t>
        </is>
      </c>
      <c r="B51" s="0" t="n">
        <v>50</v>
      </c>
      <c r="C51" s="0" t="inlineStr">
        <is>
          <t>Jogi</t>
        </is>
      </c>
      <c r="D51" s="0" t="inlineStr">
        <is>
          <t>thiarajxtt, Bir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Date</t>
        </is>
      </c>
      <c r="B1" s="24" t="inlineStr">
        <is>
          <t>Rank</t>
        </is>
      </c>
      <c r="C1" s="24" t="inlineStr">
        <is>
          <t>Song</t>
        </is>
      </c>
      <c r="D1" s="24" t="inlineStr">
        <is>
          <t>Artist</t>
        </is>
      </c>
    </row>
    <row r="2">
      <c r="A2" s="0" t="inlineStr">
        <is>
          <t>2026-04-02</t>
        </is>
      </c>
      <c r="B2" s="0" t="n">
        <v>1</v>
      </c>
      <c r="C2" s="0" t="inlineStr">
        <is>
          <t>Bairan</t>
        </is>
      </c>
      <c r="D2" s="0" t="inlineStr">
        <is>
          <t>Banjaare</t>
        </is>
      </c>
    </row>
    <row r="3">
      <c r="A3" s="0" t="inlineStr">
        <is>
          <t>2026-04-02</t>
        </is>
      </c>
      <c r="B3" s="0" t="n">
        <v>2</v>
      </c>
      <c r="C3" s="0" t="inlineStr">
        <is>
          <t>Jaiye Sajana</t>
        </is>
      </c>
      <c r="D3" s="0" t="inlineStr">
        <is>
          <t>Shashwat Sachdev, Jasmine Sandlas, Satinder Sartaaj</t>
        </is>
      </c>
    </row>
    <row r="4">
      <c r="A4" s="0" t="inlineStr">
        <is>
          <t>2026-04-02</t>
        </is>
      </c>
      <c r="B4" s="0" t="n">
        <v>3</v>
      </c>
      <c r="C4" s="0" t="inlineStr">
        <is>
          <t>Sheesha - Aakhya Mai Aakh Ghali Jo Bairan</t>
        </is>
      </c>
      <c r="D4" s="0" t="inlineStr">
        <is>
          <t>Mitta Ror, Swara Verma</t>
        </is>
      </c>
    </row>
    <row r="5">
      <c r="A5" s="0" t="inlineStr">
        <is>
          <t>2026-04-02</t>
        </is>
      </c>
      <c r="B5" s="0" t="n">
        <v>4</v>
      </c>
      <c r="C5" s="0" t="inlineStr">
        <is>
          <t>Gehra Hua</t>
        </is>
      </c>
      <c r="D5" s="0" t="inlineStr">
        <is>
          <t>Shashwat Sachdev, Arijit Singh, Irshad Kamil, Armaan Khan</t>
        </is>
      </c>
    </row>
    <row r="6">
      <c r="A6" s="0" t="inlineStr">
        <is>
          <t>2026-04-02</t>
        </is>
      </c>
      <c r="B6" s="0" t="n">
        <v>5</v>
      </c>
      <c r="C6" s="0" t="inlineStr">
        <is>
          <t>Khat</t>
        </is>
      </c>
      <c r="D6" s="0" t="inlineStr">
        <is>
          <t>Navjot Ahuja</t>
        </is>
      </c>
    </row>
    <row r="7">
      <c r="A7" s="0" t="inlineStr">
        <is>
          <t>2026-04-02</t>
        </is>
      </c>
      <c r="B7" s="0" t="n">
        <v>6</v>
      </c>
      <c r="C7" s="0" t="inlineStr">
        <is>
          <t>Dhurandhar The Revenge - Aari Aari</t>
        </is>
      </c>
      <c r="D7" s="0" t="inlineStr">
        <is>
          <t>Shashwat Sachdev, Bombay Rockers, Irshad Kamil, Khan Saab, Reble, Token, Jasmine Sandlas, Sudhir Yaduvanshi</t>
        </is>
      </c>
    </row>
    <row r="8">
      <c r="A8" s="0" t="inlineStr">
        <is>
          <t>2026-04-02</t>
        </is>
      </c>
      <c r="B8" s="0" t="n">
        <v>7</v>
      </c>
      <c r="C8" s="0" t="inlineStr">
        <is>
          <t>Jaan Se Guzarte Hain</t>
        </is>
      </c>
      <c r="D8" s="0" t="inlineStr">
        <is>
          <t>Shashwat Sachdev, Khan Saab, Nusrat Fateh Ali Khan</t>
        </is>
      </c>
    </row>
    <row r="9">
      <c r="A9" s="0" t="inlineStr">
        <is>
          <t>2026-04-02</t>
        </is>
      </c>
      <c r="B9" s="0" t="n">
        <v>8</v>
      </c>
      <c r="C9" s="0" t="inlineStr">
        <is>
          <t>Sitaare (From "Ikkis")</t>
        </is>
      </c>
      <c r="D9" s="0" t="inlineStr">
        <is>
          <t>Arijit Singh, White Noise Collectives, Amitabh Bhattacharya</t>
        </is>
      </c>
    </row>
    <row r="10">
      <c r="A10" s="0" t="inlineStr">
        <is>
          <t>2026-04-02</t>
        </is>
      </c>
      <c r="B10" s="0" t="n">
        <v>9</v>
      </c>
      <c r="C10" s="0" t="inlineStr">
        <is>
          <t>Dooron Dooron</t>
        </is>
      </c>
      <c r="D10" s="0" t="inlineStr">
        <is>
          <t>Paresh Pahuja, Shiv Tandan, Meghdeep Bose</t>
        </is>
      </c>
    </row>
    <row r="11">
      <c r="A11" s="0" t="inlineStr">
        <is>
          <t>2026-04-02</t>
        </is>
      </c>
      <c r="B11" s="0" t="n">
        <v>10</v>
      </c>
      <c r="C11" s="0" t="inlineStr">
        <is>
          <t>Sahiba</t>
        </is>
      </c>
      <c r="D11" s="0" t="inlineStr">
        <is>
          <t>Aditya Rikhari</t>
        </is>
      </c>
    </row>
    <row r="12">
      <c r="A12" s="0" t="inlineStr">
        <is>
          <t>2026-04-02</t>
        </is>
      </c>
      <c r="B12" s="0" t="n">
        <v>11</v>
      </c>
      <c r="C12" s="0" t="inlineStr">
        <is>
          <t>Pavazha Malli - From "Think Indie"</t>
        </is>
      </c>
      <c r="D12" s="0" t="inlineStr">
        <is>
          <t>Sai Abhyankkar, Shruti Haasan, Vivek</t>
        </is>
      </c>
    </row>
    <row r="13">
      <c r="A13" s="0" t="inlineStr">
        <is>
          <t>2026-04-02</t>
        </is>
      </c>
      <c r="B13" s="0" t="n">
        <v>12</v>
      </c>
      <c r="C13" s="0" t="inlineStr">
        <is>
          <t>Apna Bana Le</t>
        </is>
      </c>
      <c r="D13" s="0" t="inlineStr">
        <is>
          <t>Sachin-Jigar, Arijit Singh, Amitabh Bhattacharya</t>
        </is>
      </c>
    </row>
    <row r="14">
      <c r="A14" s="0" t="inlineStr">
        <is>
          <t>2026-04-02</t>
        </is>
      </c>
      <c r="B14" s="0" t="n">
        <v>13</v>
      </c>
      <c r="C14" s="0" t="inlineStr">
        <is>
          <t>Shree Hanuman Chalisa</t>
        </is>
      </c>
      <c r="D14" s="0" t="inlineStr">
        <is>
          <t>Hariharan, Lalit Sen, Chander</t>
        </is>
      </c>
    </row>
    <row r="15">
      <c r="A15" s="0" t="inlineStr">
        <is>
          <t>2026-04-02</t>
        </is>
      </c>
      <c r="B15" s="0" t="n">
        <v>14</v>
      </c>
      <c r="C15" s="0" t="inlineStr">
        <is>
          <t>Samjhawan</t>
        </is>
      </c>
      <c r="D15" s="0" t="inlineStr">
        <is>
          <t>Jawad Ahmad, Shaarib Toshi, Arijit Singh, Shreya Ghoshal</t>
        </is>
      </c>
    </row>
    <row r="16">
      <c r="A16" s="0" t="inlineStr">
        <is>
          <t>2026-04-02</t>
        </is>
      </c>
      <c r="B16" s="0" t="n">
        <v>15</v>
      </c>
      <c r="C16" s="0" t="inlineStr">
        <is>
          <t>Finding Her</t>
        </is>
      </c>
      <c r="D16" s="0" t="inlineStr">
        <is>
          <t>Kushagra, Bharath, Saaheal</t>
        </is>
      </c>
    </row>
    <row r="17">
      <c r="A17" s="0" t="inlineStr">
        <is>
          <t>2026-04-02</t>
        </is>
      </c>
      <c r="B17" s="0" t="n">
        <v>16</v>
      </c>
      <c r="C17" s="0" t="inlineStr">
        <is>
          <t>Shararat</t>
        </is>
      </c>
      <c r="D17" s="0" t="inlineStr">
        <is>
          <t>Shashwat Sachdev, Madhubanti Bagchi, Jasmine Sandlas</t>
        </is>
      </c>
    </row>
    <row r="18">
      <c r="A18" s="0" t="inlineStr">
        <is>
          <t>2026-04-02</t>
        </is>
      </c>
      <c r="B18" s="0" t="n">
        <v>17</v>
      </c>
      <c r="C18" s="0" t="inlineStr">
        <is>
          <t>Arz Kiya Hai | Coke Studio Bharat</t>
        </is>
      </c>
      <c r="D18" s="0" t="inlineStr">
        <is>
          <t>Anuv Jain</t>
        </is>
      </c>
    </row>
    <row r="19">
      <c r="A19" s="0" t="inlineStr">
        <is>
          <t>2026-04-02</t>
        </is>
      </c>
      <c r="B19" s="0" t="n">
        <v>18</v>
      </c>
      <c r="C19" s="0" t="inlineStr">
        <is>
          <t>Dhurandhar - Title Track</t>
        </is>
      </c>
      <c r="D19" s="0" t="inlineStr">
        <is>
          <t>Shashwat Sachdev, Hanumankind, Jasmine Sandlas, Sudhir Yaduvanshi, Charanjit Ahuja, Muhammad Sadiq, Ranjit Kaur, Babu Singh Maan</t>
        </is>
      </c>
    </row>
    <row r="20">
      <c r="A20" s="0" t="inlineStr">
        <is>
          <t>2026-04-02</t>
        </is>
      </c>
      <c r="B20" s="0" t="n">
        <v>19</v>
      </c>
      <c r="C20" s="0" t="inlineStr">
        <is>
          <t>Ishq</t>
        </is>
      </c>
      <c r="D20" s="0" t="inlineStr">
        <is>
          <t>Faheem Abdullah, Rauhan Malik, Amir Ameer</t>
        </is>
      </c>
    </row>
    <row r="21">
      <c r="A21" s="0" t="inlineStr">
        <is>
          <t>2026-04-02</t>
        </is>
      </c>
      <c r="B21" s="0" t="n">
        <v>20</v>
      </c>
      <c r="C21" s="0" t="inlineStr">
        <is>
          <t>Boyfriend</t>
        </is>
      </c>
      <c r="D21" s="0" t="inlineStr">
        <is>
          <t>Karan Aujla, Ikky</t>
        </is>
      </c>
    </row>
    <row r="22">
      <c r="A22" s="0" t="inlineStr">
        <is>
          <t>2026-04-02</t>
        </is>
      </c>
      <c r="B22" s="0" t="n">
        <v>21</v>
      </c>
      <c r="C22" s="0" t="inlineStr">
        <is>
          <t>Phir Se</t>
        </is>
      </c>
      <c r="D22" s="0" t="inlineStr">
        <is>
          <t>Shashwat Sachdev, Arijit Singh, Irshad Kamil</t>
        </is>
      </c>
    </row>
    <row r="23">
      <c r="A23" s="0" t="inlineStr">
        <is>
          <t>2026-04-02</t>
        </is>
      </c>
      <c r="B23" s="0" t="n">
        <v>22</v>
      </c>
      <c r="C23" s="0" t="inlineStr">
        <is>
          <t>Mann Mera</t>
        </is>
      </c>
      <c r="D23" s="0" t="inlineStr">
        <is>
          <t>Gajendra Verma</t>
        </is>
      </c>
    </row>
    <row r="24">
      <c r="A24" s="0" t="inlineStr">
        <is>
          <t>2026-04-02</t>
        </is>
      </c>
      <c r="B24" s="0" t="n">
        <v>23</v>
      </c>
      <c r="C24" s="0" t="inlineStr">
        <is>
          <t>Saiyaara</t>
        </is>
      </c>
      <c r="D24" s="0" t="inlineStr">
        <is>
          <t>Tanishk Bagchi, Faheem Abdullah, Arslan Nizami, Irshad Kamil</t>
        </is>
      </c>
    </row>
    <row r="25">
      <c r="A25" s="0" t="inlineStr">
        <is>
          <t>2026-04-02</t>
        </is>
      </c>
      <c r="B25" s="0" t="n">
        <v>24</v>
      </c>
      <c r="C25" s="0" t="inlineStr">
        <is>
          <t>Ishqa Ve</t>
        </is>
      </c>
      <c r="D25" s="0" t="inlineStr">
        <is>
          <t>Zeeshan Ali, Yuvraj Tung, Sandeep Aulakh, Honey Dhillon</t>
        </is>
      </c>
    </row>
    <row r="26">
      <c r="A26" s="0" t="inlineStr">
        <is>
          <t>2026-04-02</t>
        </is>
      </c>
      <c r="B26" s="0" t="n">
        <v>25</v>
      </c>
      <c r="C26" s="0" t="inlineStr">
        <is>
          <t>Bairi</t>
        </is>
      </c>
      <c r="D26" s="0" t="inlineStr">
        <is>
          <t>Virat, Pradeep Solanki, Heena</t>
        </is>
      </c>
    </row>
    <row r="27">
      <c r="A27" s="0" t="inlineStr">
        <is>
          <t>2026-04-02</t>
        </is>
      </c>
      <c r="B27" s="0" t="n">
        <v>26</v>
      </c>
      <c r="C27" s="0" t="inlineStr">
        <is>
          <t>For A Reason</t>
        </is>
      </c>
      <c r="D27" s="0" t="inlineStr">
        <is>
          <t>Karan Aujla, Ikky</t>
        </is>
      </c>
    </row>
    <row r="28">
      <c r="A28" s="0" t="inlineStr">
        <is>
          <t>2026-04-02</t>
        </is>
      </c>
      <c r="B28" s="0" t="n">
        <v>27</v>
      </c>
      <c r="C28" s="0" t="inlineStr">
        <is>
          <t>Naal Nachna</t>
        </is>
      </c>
      <c r="D28" s="0" t="inlineStr">
        <is>
          <t>Shashwat Sachdev, Afsana Khan, Irshad Kamil, Reble</t>
        </is>
      </c>
    </row>
    <row r="29">
      <c r="A29" s="0" t="inlineStr">
        <is>
          <t>2026-04-02</t>
        </is>
      </c>
      <c r="B29" s="0" t="n">
        <v>28</v>
      </c>
      <c r="C29" s="0" t="inlineStr">
        <is>
          <t>Deewaana Deewaana</t>
        </is>
      </c>
      <c r="D29" s="0" t="inlineStr">
        <is>
          <t>A.R. Rahman, Irshad Kamil</t>
        </is>
      </c>
    </row>
    <row r="30">
      <c r="A30" s="0" t="inlineStr">
        <is>
          <t>2026-04-02</t>
        </is>
      </c>
      <c r="B30" s="0" t="n">
        <v>29</v>
      </c>
      <c r="C30" s="0" t="inlineStr">
        <is>
          <t>Run Down The City - Monica</t>
        </is>
      </c>
      <c r="D30" s="0" t="inlineStr">
        <is>
          <t>Shashwat Sachdev, Reble, Asha Bhosle, R. D. Burman, Majrooh Sultanpuri</t>
        </is>
      </c>
    </row>
    <row r="31">
      <c r="A31" s="0" t="inlineStr">
        <is>
          <t>2026-04-02</t>
        </is>
      </c>
      <c r="B31" s="0" t="n">
        <v>30</v>
      </c>
      <c r="C31" s="0" t="inlineStr">
        <is>
          <t>Darkhaast</t>
        </is>
      </c>
      <c r="D31" s="0" t="inlineStr">
        <is>
          <t>Mithoon, Arijit Singh, Sunidhi Chauhan, Sayeed Quadri</t>
        </is>
      </c>
    </row>
    <row r="32">
      <c r="A32" s="0" t="inlineStr">
        <is>
          <t>2026-04-02</t>
        </is>
      </c>
      <c r="B32" s="0" t="n">
        <v>31</v>
      </c>
      <c r="C32" s="0" t="inlineStr">
        <is>
          <t>Tum Ho Toh (From "Saiyaara")</t>
        </is>
      </c>
      <c r="D32" s="0" t="inlineStr">
        <is>
          <t>Vishal Mishra, Hansika Pareek, Raj Shekhar</t>
        </is>
      </c>
    </row>
    <row r="33">
      <c r="A33" s="0" t="inlineStr">
        <is>
          <t>2026-04-02</t>
        </is>
      </c>
      <c r="B33" s="0" t="n">
        <v>32</v>
      </c>
      <c r="C33" s="0" t="inlineStr">
        <is>
          <t>Tere Liye</t>
        </is>
      </c>
      <c r="D33" s="0" t="inlineStr">
        <is>
          <t>Atif Aslam, Shreya Ghoshal, Sachin Gupta, Sameer Anjaan</t>
        </is>
      </c>
    </row>
    <row r="34">
      <c r="A34" s="0" t="inlineStr">
        <is>
          <t>2026-04-02</t>
        </is>
      </c>
      <c r="B34" s="0" t="n">
        <v>33</v>
      </c>
      <c r="C34" s="0" t="inlineStr">
        <is>
          <t>Raanjhan (From "Do Patti")</t>
        </is>
      </c>
      <c r="D34" s="0" t="inlineStr">
        <is>
          <t>Sachet-Parampara, Parampara Tandon, Kausar Munir</t>
        </is>
      </c>
    </row>
    <row r="35">
      <c r="A35" s="0" t="inlineStr">
        <is>
          <t>2026-04-02</t>
        </is>
      </c>
      <c r="B35" s="0" t="n">
        <v>34</v>
      </c>
      <c r="C35" s="0" t="inlineStr">
        <is>
          <t>Tere Bina</t>
        </is>
      </c>
      <c r="D35" s="0" t="inlineStr">
        <is>
          <t>A.R. Rahman, Chinmayi, Murtuza Khan, Qadir Khan</t>
        </is>
      </c>
    </row>
    <row r="36">
      <c r="A36" s="0" t="inlineStr">
        <is>
          <t>2026-04-02</t>
        </is>
      </c>
      <c r="B36" s="0" t="n">
        <v>35</v>
      </c>
      <c r="C36" s="0" t="inlineStr">
        <is>
          <t>Lutt Le Gaya</t>
        </is>
      </c>
      <c r="D36" s="0" t="inlineStr">
        <is>
          <t>Shashwat Sachdev, Simran Choudhary</t>
        </is>
      </c>
    </row>
    <row r="37">
      <c r="A37" s="0" t="inlineStr">
        <is>
          <t>2026-04-02</t>
        </is>
      </c>
      <c r="B37" s="0" t="n">
        <v>36</v>
      </c>
      <c r="C37" s="0" t="inlineStr">
        <is>
          <t>Agar Tum Saath Ho (From "Tamasha")</t>
        </is>
      </c>
      <c r="D37" s="0" t="inlineStr">
        <is>
          <t>Alka Yagnik, Arijit Singh</t>
        </is>
      </c>
    </row>
    <row r="38">
      <c r="A38" s="0" t="inlineStr">
        <is>
          <t>2026-04-02</t>
        </is>
      </c>
      <c r="B38" s="0" t="n">
        <v>37</v>
      </c>
      <c r="C38" s="0" t="inlineStr">
        <is>
          <t>Jo Tum Mere Ho</t>
        </is>
      </c>
      <c r="D38" s="0" t="inlineStr">
        <is>
          <t>Anuv Jain</t>
        </is>
      </c>
    </row>
    <row r="39">
      <c r="A39" s="0" t="inlineStr">
        <is>
          <t>2026-04-02</t>
        </is>
      </c>
      <c r="B39" s="0" t="n">
        <v>38</v>
      </c>
      <c r="C39" s="0" t="inlineStr">
        <is>
          <t>Haseen</t>
        </is>
      </c>
      <c r="D39" s="0" t="inlineStr">
        <is>
          <t>Talwiinder, NDS, Rippy Grewal</t>
        </is>
      </c>
    </row>
    <row r="40">
      <c r="A40" s="0" t="inlineStr">
        <is>
          <t>2026-04-02</t>
        </is>
      </c>
      <c r="B40" s="0" t="n">
        <v>39</v>
      </c>
      <c r="C40" s="0" t="inlineStr">
        <is>
          <t>Barbaad (From "Saiyaara")</t>
        </is>
      </c>
      <c r="D40" s="0" t="inlineStr">
        <is>
          <t>The Rish, Jubin Nautiyal</t>
        </is>
      </c>
    </row>
    <row r="41">
      <c r="A41" s="0" t="inlineStr">
        <is>
          <t>2026-04-02</t>
        </is>
      </c>
      <c r="B41" s="0" t="n">
        <v>40</v>
      </c>
      <c r="C41" s="0" t="inlineStr">
        <is>
          <t>Main Aur Tu</t>
        </is>
      </c>
      <c r="D41" s="0" t="inlineStr">
        <is>
          <t>Shashwat Sachdev, Jasmine Sandlas, Reble</t>
        </is>
      </c>
    </row>
    <row r="42">
      <c r="A42" s="0" t="inlineStr">
        <is>
          <t>2026-04-02</t>
        </is>
      </c>
      <c r="B42" s="0" t="n">
        <v>41</v>
      </c>
      <c r="C42" s="0" t="inlineStr">
        <is>
          <t>Ishq Jalakar - Karvaan</t>
        </is>
      </c>
      <c r="D42" s="0" t="inlineStr">
        <is>
          <t>Shashwat Sachdev, Shahzad Ali, Subhadeep Das Chowdhury, Armaan Khan, Irshad Kamil, Roshan, Sahir Ludhianvi</t>
        </is>
      </c>
    </row>
    <row r="43">
      <c r="A43" s="0" t="inlineStr">
        <is>
          <t>2026-04-02</t>
        </is>
      </c>
      <c r="B43" s="0" t="n">
        <v>42</v>
      </c>
      <c r="C43" s="0" t="inlineStr">
        <is>
          <t>Teri Deewani</t>
        </is>
      </c>
      <c r="D43" s="0" t="inlineStr">
        <is>
          <t>Kailash Kher, Paresh Kamath, Naresh Kamath</t>
        </is>
      </c>
    </row>
    <row r="44">
      <c r="A44" s="0" t="inlineStr">
        <is>
          <t>2026-04-02</t>
        </is>
      </c>
      <c r="B44" s="0" t="n">
        <v>43</v>
      </c>
      <c r="C44" s="0" t="inlineStr">
        <is>
          <t>Ye Tune Kya Kiya</t>
        </is>
      </c>
      <c r="D44" s="0" t="inlineStr">
        <is>
          <t>Pritam, Javed Bashir, Rajat Arora</t>
        </is>
      </c>
    </row>
    <row r="45">
      <c r="A45" s="0" t="inlineStr">
        <is>
          <t>2026-04-02</t>
        </is>
      </c>
      <c r="B45" s="0" t="n">
        <v>44</v>
      </c>
      <c r="C45" s="0" t="inlineStr">
        <is>
          <t>Mann Mera - Original Version</t>
        </is>
      </c>
      <c r="D45" s="0" t="inlineStr">
        <is>
          <t>Gajendra Verma</t>
        </is>
      </c>
    </row>
    <row r="46">
      <c r="A46" s="0" t="inlineStr">
        <is>
          <t>2026-04-02</t>
        </is>
      </c>
      <c r="B46" s="0" t="n">
        <v>45</v>
      </c>
      <c r="C46" s="0" t="inlineStr">
        <is>
          <t>Aaya Sher (From "The Paradise") (Telugu)</t>
        </is>
      </c>
      <c r="D46" s="0" t="inlineStr">
        <is>
          <t>Anirudh Ravichander, Jangi Reddy, Arjun Chandy, Kasarla Shyam</t>
        </is>
      </c>
    </row>
    <row r="47">
      <c r="A47" s="0" t="inlineStr">
        <is>
          <t>2026-04-02</t>
        </is>
      </c>
      <c r="B47" s="0" t="n">
        <v>46</v>
      </c>
      <c r="C47" s="0" t="inlineStr">
        <is>
          <t>Not Guilty</t>
        </is>
      </c>
      <c r="D47" s="0" t="inlineStr">
        <is>
          <t>Dhanda Nyoliwala</t>
        </is>
      </c>
    </row>
    <row r="48">
      <c r="A48" s="0" t="inlineStr">
        <is>
          <t>2026-04-02</t>
        </is>
      </c>
      <c r="B48" s="0" t="n">
        <v>47</v>
      </c>
      <c r="C48" s="0" t="inlineStr">
        <is>
          <t>Mutta Kalakki (From "Youth")</t>
        </is>
      </c>
      <c r="D48" s="0" t="inlineStr">
        <is>
          <t>G. V. Prakash, Ken Karunaas</t>
        </is>
      </c>
    </row>
    <row r="49">
      <c r="A49" s="0" t="inlineStr">
        <is>
          <t>2026-04-02</t>
        </is>
      </c>
      <c r="B49" s="0" t="n">
        <v>48</v>
      </c>
      <c r="C49" s="0" t="inlineStr">
        <is>
          <t>Vaari Jaavan</t>
        </is>
      </c>
      <c r="D49" s="0" t="inlineStr">
        <is>
          <t>Shashwat Sachdev, Jyoti Nooran, Jasmine Sandlas, Reble</t>
        </is>
      </c>
    </row>
    <row r="50">
      <c r="A50" s="0" t="inlineStr">
        <is>
          <t>2026-04-02</t>
        </is>
      </c>
      <c r="B50" s="0" t="n">
        <v>49</v>
      </c>
      <c r="C50" s="0" t="inlineStr">
        <is>
          <t>Hum Pyaar Karne Wale</t>
        </is>
      </c>
      <c r="D50" s="0" t="inlineStr">
        <is>
          <t>Shashwat Sachdev, Anuradha Paudwal, Udit Narayan, Anand-Milind, Sameer Anjaan, Qveen Herby</t>
        </is>
      </c>
    </row>
    <row r="51">
      <c r="A51" s="0" t="inlineStr">
        <is>
          <t>2026-04-02</t>
        </is>
      </c>
      <c r="B51" s="0" t="n">
        <v>50</v>
      </c>
      <c r="C51" s="0" t="inlineStr">
        <is>
          <t>Ehsaas</t>
        </is>
      </c>
      <c r="D51" s="0" t="inlineStr">
        <is>
          <t>Faheem Abdullah, Duha Shah, Vaibhav Pani, Hyder Dar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Date</t>
        </is>
      </c>
      <c r="B1" s="24" t="inlineStr">
        <is>
          <t>Rank</t>
        </is>
      </c>
      <c r="C1" s="24" t="inlineStr">
        <is>
          <t>Song</t>
        </is>
      </c>
      <c r="D1" s="24" t="inlineStr">
        <is>
          <t>Artist</t>
        </is>
      </c>
    </row>
    <row r="2">
      <c r="A2" s="0" t="inlineStr">
        <is>
          <t>2026-04-03</t>
        </is>
      </c>
      <c r="B2" s="0" t="n">
        <v>1</v>
      </c>
      <c r="C2" s="0" t="inlineStr">
        <is>
          <t>Bairan</t>
        </is>
      </c>
      <c r="D2" s="0" t="inlineStr">
        <is>
          <t>Banjaare</t>
        </is>
      </c>
    </row>
    <row r="3">
      <c r="A3" s="0" t="inlineStr">
        <is>
          <t>2026-04-03</t>
        </is>
      </c>
      <c r="B3" s="0" t="n">
        <v>2</v>
      </c>
      <c r="C3" s="0" t="inlineStr">
        <is>
          <t>Jaiye Sajana</t>
        </is>
      </c>
      <c r="D3" s="0" t="inlineStr">
        <is>
          <t>Shashwat Sachdev, Jasmine Sandlas, Satinder Sartaaj</t>
        </is>
      </c>
    </row>
    <row r="4">
      <c r="A4" s="0" t="inlineStr">
        <is>
          <t>2026-04-03</t>
        </is>
      </c>
      <c r="B4" s="0" t="n">
        <v>3</v>
      </c>
      <c r="C4" s="0" t="inlineStr">
        <is>
          <t>Gehra Hua</t>
        </is>
      </c>
      <c r="D4" s="0" t="inlineStr">
        <is>
          <t>Shashwat Sachdev, Arijit Singh, Irshad Kamil, Armaan Khan</t>
        </is>
      </c>
    </row>
    <row r="5">
      <c r="A5" s="0" t="inlineStr">
        <is>
          <t>2026-04-03</t>
        </is>
      </c>
      <c r="B5" s="0" t="n">
        <v>4</v>
      </c>
      <c r="C5" s="0" t="inlineStr">
        <is>
          <t>Sheesha - Aakhya Mai Aakh Ghali Jo Bairan</t>
        </is>
      </c>
      <c r="D5" s="0" t="inlineStr">
        <is>
          <t>Mitta Ror, Swara Verma</t>
        </is>
      </c>
    </row>
    <row r="6">
      <c r="A6" s="0" t="inlineStr">
        <is>
          <t>2026-04-03</t>
        </is>
      </c>
      <c r="B6" s="0" t="n">
        <v>5</v>
      </c>
      <c r="C6" s="0" t="inlineStr">
        <is>
          <t>Khat</t>
        </is>
      </c>
      <c r="D6" s="0" t="inlineStr">
        <is>
          <t>Navjot Ahuja</t>
        </is>
      </c>
    </row>
    <row r="7">
      <c r="A7" s="0" t="inlineStr">
        <is>
          <t>2026-04-03</t>
        </is>
      </c>
      <c r="B7" s="0" t="n">
        <v>6</v>
      </c>
      <c r="C7" s="0" t="inlineStr">
        <is>
          <t>Dhurandhar The Revenge - Aari Aari</t>
        </is>
      </c>
      <c r="D7" s="0" t="inlineStr">
        <is>
          <t>Shashwat Sachdev, Bombay Rockers, Irshad Kamil, Khan Saab, Reble, Token, Jasmine Sandlas, Sudhir Yaduvanshi</t>
        </is>
      </c>
    </row>
    <row r="8">
      <c r="A8" s="0" t="inlineStr">
        <is>
          <t>2026-04-03</t>
        </is>
      </c>
      <c r="B8" s="0" t="n">
        <v>7</v>
      </c>
      <c r="C8" s="0" t="inlineStr">
        <is>
          <t>Sahiba</t>
        </is>
      </c>
      <c r="D8" s="0" t="inlineStr">
        <is>
          <t>Aditya Rikhari</t>
        </is>
      </c>
    </row>
    <row r="9">
      <c r="A9" s="0" t="inlineStr">
        <is>
          <t>2026-04-03</t>
        </is>
      </c>
      <c r="B9" s="0" t="n">
        <v>8</v>
      </c>
      <c r="C9" s="0" t="inlineStr">
        <is>
          <t>Jaan Se Guzarte Hain</t>
        </is>
      </c>
      <c r="D9" s="0" t="inlineStr">
        <is>
          <t>Shashwat Sachdev, Khan Saab, Nusrat Fateh Ali Khan</t>
        </is>
      </c>
    </row>
    <row r="10">
      <c r="A10" s="0" t="inlineStr">
        <is>
          <t>2026-04-03</t>
        </is>
      </c>
      <c r="B10" s="0" t="n">
        <v>9</v>
      </c>
      <c r="C10" s="0" t="inlineStr">
        <is>
          <t>Dooron Dooron</t>
        </is>
      </c>
      <c r="D10" s="0" t="inlineStr">
        <is>
          <t>Paresh Pahuja, Shiv Tandan, Meghdeep Bose</t>
        </is>
      </c>
    </row>
    <row r="11">
      <c r="A11" s="0" t="inlineStr">
        <is>
          <t>2026-04-03</t>
        </is>
      </c>
      <c r="B11" s="0" t="n">
        <v>10</v>
      </c>
      <c r="C11" s="0" t="inlineStr">
        <is>
          <t>Sitaare (From "Ikkis")</t>
        </is>
      </c>
      <c r="D11" s="0" t="inlineStr">
        <is>
          <t>Arijit Singh, White Noise Collectives, Amitabh Bhattacharya</t>
        </is>
      </c>
    </row>
    <row r="12">
      <c r="A12" s="0" t="inlineStr">
        <is>
          <t>2026-04-03</t>
        </is>
      </c>
      <c r="B12" s="0" t="n">
        <v>11</v>
      </c>
      <c r="C12" s="0" t="inlineStr">
        <is>
          <t>Apna Bana Le</t>
        </is>
      </c>
      <c r="D12" s="0" t="inlineStr">
        <is>
          <t>Sachin-Jigar, Arijit Singh, Amitabh Bhattacharya</t>
        </is>
      </c>
    </row>
    <row r="13">
      <c r="A13" s="0" t="inlineStr">
        <is>
          <t>2026-04-03</t>
        </is>
      </c>
      <c r="B13" s="0" t="n">
        <v>12</v>
      </c>
      <c r="C13" s="0" t="inlineStr">
        <is>
          <t>Samjhawan</t>
        </is>
      </c>
      <c r="D13" s="0" t="inlineStr">
        <is>
          <t>Jawad Ahmad, Shaarib Toshi, Arijit Singh, Shreya Ghoshal</t>
        </is>
      </c>
    </row>
    <row r="14">
      <c r="A14" s="0" t="inlineStr">
        <is>
          <t>2026-04-03</t>
        </is>
      </c>
      <c r="B14" s="0" t="n">
        <v>13</v>
      </c>
      <c r="C14" s="0" t="inlineStr">
        <is>
          <t>Pavazha Malli - From "Think Indie"</t>
        </is>
      </c>
      <c r="D14" s="0" t="inlineStr">
        <is>
          <t>Sai Abhyankkar, Shruti Haasan, Vivek</t>
        </is>
      </c>
    </row>
    <row r="15">
      <c r="A15" s="0" t="inlineStr">
        <is>
          <t>2026-04-03</t>
        </is>
      </c>
      <c r="B15" s="0" t="n">
        <v>14</v>
      </c>
      <c r="C15" s="0" t="inlineStr">
        <is>
          <t>Finding Her</t>
        </is>
      </c>
      <c r="D15" s="0" t="inlineStr">
        <is>
          <t>Kushagra, Bharath, Saaheal</t>
        </is>
      </c>
    </row>
    <row r="16">
      <c r="A16" s="0" t="inlineStr">
        <is>
          <t>2026-04-03</t>
        </is>
      </c>
      <c r="B16" s="0" t="n">
        <v>15</v>
      </c>
      <c r="C16" s="0" t="inlineStr">
        <is>
          <t>Shararat</t>
        </is>
      </c>
      <c r="D16" s="0" t="inlineStr">
        <is>
          <t>Shashwat Sachdev, Madhubanti Bagchi, Jasmine Sandlas</t>
        </is>
      </c>
    </row>
    <row r="17">
      <c r="A17" s="0" t="inlineStr">
        <is>
          <t>2026-04-03</t>
        </is>
      </c>
      <c r="B17" s="0" t="n">
        <v>16</v>
      </c>
      <c r="C17" s="0" t="inlineStr">
        <is>
          <t>Boyfriend</t>
        </is>
      </c>
      <c r="D17" s="0" t="inlineStr">
        <is>
          <t>Karan Aujla, Ikky</t>
        </is>
      </c>
    </row>
    <row r="18">
      <c r="A18" s="0" t="inlineStr">
        <is>
          <t>2026-04-03</t>
        </is>
      </c>
      <c r="B18" s="0" t="n">
        <v>17</v>
      </c>
      <c r="C18" s="0" t="inlineStr">
        <is>
          <t>Dhurandhar - Title Track</t>
        </is>
      </c>
      <c r="D18" s="0" t="inlineStr">
        <is>
          <t>Shashwat Sachdev, Hanumankind, Jasmine Sandlas, Sudhir Yaduvanshi, Charanjit Ahuja, Muhammad Sadiq, Ranjit Kaur, Babu Singh Maan</t>
        </is>
      </c>
    </row>
    <row r="19">
      <c r="A19" s="0" t="inlineStr">
        <is>
          <t>2026-04-03</t>
        </is>
      </c>
      <c r="B19" s="0" t="n">
        <v>18</v>
      </c>
      <c r="C19" s="0" t="inlineStr">
        <is>
          <t>Arz Kiya Hai | Coke Studio Bharat</t>
        </is>
      </c>
      <c r="D19" s="0" t="inlineStr">
        <is>
          <t>Anuv Jain</t>
        </is>
      </c>
    </row>
    <row r="20">
      <c r="A20" s="0" t="inlineStr">
        <is>
          <t>2026-04-03</t>
        </is>
      </c>
      <c r="B20" s="0" t="n">
        <v>19</v>
      </c>
      <c r="C20" s="0" t="inlineStr">
        <is>
          <t>Ishq</t>
        </is>
      </c>
      <c r="D20" s="0" t="inlineStr">
        <is>
          <t>Faheem Abdullah, Rauhan Malik, Amir Ameer</t>
        </is>
      </c>
    </row>
    <row r="21">
      <c r="A21" s="0" t="inlineStr">
        <is>
          <t>2026-04-03</t>
        </is>
      </c>
      <c r="B21" s="0" t="n">
        <v>20</v>
      </c>
      <c r="C21" s="0" t="inlineStr">
        <is>
          <t>Mann Mera</t>
        </is>
      </c>
      <c r="D21" s="0" t="inlineStr">
        <is>
          <t>Gajendra Verma</t>
        </is>
      </c>
    </row>
    <row r="22">
      <c r="A22" s="0" t="inlineStr">
        <is>
          <t>2026-04-03</t>
        </is>
      </c>
      <c r="B22" s="0" t="n">
        <v>21</v>
      </c>
      <c r="C22" s="0" t="inlineStr">
        <is>
          <t>Phir Se</t>
        </is>
      </c>
      <c r="D22" s="0" t="inlineStr">
        <is>
          <t>Shashwat Sachdev, Arijit Singh, Irshad Kamil</t>
        </is>
      </c>
    </row>
    <row r="23">
      <c r="A23" s="0" t="inlineStr">
        <is>
          <t>2026-04-03</t>
        </is>
      </c>
      <c r="B23" s="0" t="n">
        <v>22</v>
      </c>
      <c r="C23" s="0" t="inlineStr">
        <is>
          <t>For A Reason</t>
        </is>
      </c>
      <c r="D23" s="0" t="inlineStr">
        <is>
          <t>Karan Aujla, Ikky</t>
        </is>
      </c>
    </row>
    <row r="24">
      <c r="A24" s="0" t="inlineStr">
        <is>
          <t>2026-04-03</t>
        </is>
      </c>
      <c r="B24" s="0" t="n">
        <v>23</v>
      </c>
      <c r="C24" s="0" t="inlineStr">
        <is>
          <t>Saiyaara</t>
        </is>
      </c>
      <c r="D24" s="0" t="inlineStr">
        <is>
          <t>Tanishk Bagchi, Faheem Abdullah, Arslan Nizami, Irshad Kamil</t>
        </is>
      </c>
    </row>
    <row r="25">
      <c r="A25" s="0" t="inlineStr">
        <is>
          <t>2026-04-03</t>
        </is>
      </c>
      <c r="B25" s="0" t="n">
        <v>24</v>
      </c>
      <c r="C25" s="0" t="inlineStr">
        <is>
          <t>Naal Nachna</t>
        </is>
      </c>
      <c r="D25" s="0" t="inlineStr">
        <is>
          <t>Shashwat Sachdev, Afsana Khan, Irshad Kamil, Reble</t>
        </is>
      </c>
    </row>
    <row r="26">
      <c r="A26" s="0" t="inlineStr">
        <is>
          <t>2026-04-03</t>
        </is>
      </c>
      <c r="B26" s="0" t="n">
        <v>25</v>
      </c>
      <c r="C26" s="0" t="inlineStr">
        <is>
          <t>Run Down The City - Monica</t>
        </is>
      </c>
      <c r="D26" s="0" t="inlineStr">
        <is>
          <t>Shashwat Sachdev, Reble, Asha Bhosle, R. D. Burman, Majrooh Sultanpuri</t>
        </is>
      </c>
    </row>
    <row r="27">
      <c r="A27" s="0" t="inlineStr">
        <is>
          <t>2026-04-03</t>
        </is>
      </c>
      <c r="B27" s="0" t="n">
        <v>26</v>
      </c>
      <c r="C27" s="0" t="inlineStr">
        <is>
          <t>Bairi</t>
        </is>
      </c>
      <c r="D27" s="0" t="inlineStr">
        <is>
          <t>Virat, Pradeep Solanki, Heena</t>
        </is>
      </c>
    </row>
    <row r="28">
      <c r="A28" s="0" t="inlineStr">
        <is>
          <t>2026-04-03</t>
        </is>
      </c>
      <c r="B28" s="0" t="n">
        <v>27</v>
      </c>
      <c r="C28" s="0" t="inlineStr">
        <is>
          <t>Ishqa Ve</t>
        </is>
      </c>
      <c r="D28" s="0" t="inlineStr">
        <is>
          <t>Zeeshan Ali, Yuvraj Tung, Sandeep Aulakh, Honey Dhillon</t>
        </is>
      </c>
    </row>
    <row r="29">
      <c r="A29" s="0" t="inlineStr">
        <is>
          <t>2026-04-03</t>
        </is>
      </c>
      <c r="B29" s="0" t="n">
        <v>28</v>
      </c>
      <c r="C29" s="0" t="inlineStr">
        <is>
          <t>Tere Liye</t>
        </is>
      </c>
      <c r="D29" s="0" t="inlineStr">
        <is>
          <t>Atif Aslam, Shreya Ghoshal, Sachin Gupta, Sameer Anjaan</t>
        </is>
      </c>
    </row>
    <row r="30">
      <c r="A30" s="0" t="inlineStr">
        <is>
          <t>2026-04-03</t>
        </is>
      </c>
      <c r="B30" s="0" t="n">
        <v>29</v>
      </c>
      <c r="C30" s="0" t="inlineStr">
        <is>
          <t>Deewaana Deewaana</t>
        </is>
      </c>
      <c r="D30" s="0" t="inlineStr">
        <is>
          <t>A.R. Rahman, Irshad Kamil</t>
        </is>
      </c>
    </row>
    <row r="31">
      <c r="A31" s="0" t="inlineStr">
        <is>
          <t>2026-04-03</t>
        </is>
      </c>
      <c r="B31" s="0" t="n">
        <v>30</v>
      </c>
      <c r="C31" s="0" t="inlineStr">
        <is>
          <t>Raanjhan (From "Do Patti")</t>
        </is>
      </c>
      <c r="D31" s="0" t="inlineStr">
        <is>
          <t>Sachet-Parampara, Parampara Tandon, Kausar Munir</t>
        </is>
      </c>
    </row>
    <row r="32">
      <c r="A32" s="0" t="inlineStr">
        <is>
          <t>2026-04-03</t>
        </is>
      </c>
      <c r="B32" s="0" t="n">
        <v>31</v>
      </c>
      <c r="C32" s="0" t="inlineStr">
        <is>
          <t>Tere Bina</t>
        </is>
      </c>
      <c r="D32" s="0" t="inlineStr">
        <is>
          <t>A.R. Rahman, Chinmayi, Murtuza Khan, Qadir Khan</t>
        </is>
      </c>
    </row>
    <row r="33">
      <c r="A33" s="0" t="inlineStr">
        <is>
          <t>2026-04-03</t>
        </is>
      </c>
      <c r="B33" s="0" t="n">
        <v>32</v>
      </c>
      <c r="C33" s="0" t="inlineStr">
        <is>
          <t>Tum Ho Toh (From "Saiyaara")</t>
        </is>
      </c>
      <c r="D33" s="0" t="inlineStr">
        <is>
          <t>Vishal Mishra, Hansika Pareek, Raj Shekhar</t>
        </is>
      </c>
    </row>
    <row r="34">
      <c r="A34" s="0" t="inlineStr">
        <is>
          <t>2026-04-03</t>
        </is>
      </c>
      <c r="B34" s="0" t="n">
        <v>33</v>
      </c>
      <c r="C34" s="0" t="inlineStr">
        <is>
          <t>Darkhaast</t>
        </is>
      </c>
      <c r="D34" s="0" t="inlineStr">
        <is>
          <t>Mithoon, Arijit Singh, Sunidhi Chauhan, Sayeed Quadri</t>
        </is>
      </c>
    </row>
    <row r="35">
      <c r="A35" s="0" t="inlineStr">
        <is>
          <t>2026-04-03</t>
        </is>
      </c>
      <c r="B35" s="0" t="n">
        <v>34</v>
      </c>
      <c r="C35" s="0" t="inlineStr">
        <is>
          <t>Jo Tum Mere Ho</t>
        </is>
      </c>
      <c r="D35" s="0" t="inlineStr">
        <is>
          <t>Anuv Jain</t>
        </is>
      </c>
    </row>
    <row r="36">
      <c r="A36" s="0" t="inlineStr">
        <is>
          <t>2026-04-03</t>
        </is>
      </c>
      <c r="B36" s="0" t="n">
        <v>35</v>
      </c>
      <c r="C36" s="0" t="inlineStr">
        <is>
          <t>Lutt Le Gaya</t>
        </is>
      </c>
      <c r="D36" s="0" t="inlineStr">
        <is>
          <t>Shashwat Sachdev, Simran Choudhary</t>
        </is>
      </c>
    </row>
    <row r="37">
      <c r="A37" s="0" t="inlineStr">
        <is>
          <t>2026-04-03</t>
        </is>
      </c>
      <c r="B37" s="0" t="n">
        <v>36</v>
      </c>
      <c r="C37" s="0" t="inlineStr">
        <is>
          <t>Haseen</t>
        </is>
      </c>
      <c r="D37" s="0" t="inlineStr">
        <is>
          <t>Talwiinder, NDS, Rippy Grewal</t>
        </is>
      </c>
    </row>
    <row r="38">
      <c r="A38" s="0" t="inlineStr">
        <is>
          <t>2026-04-03</t>
        </is>
      </c>
      <c r="B38" s="0" t="n">
        <v>37</v>
      </c>
      <c r="C38" s="0" t="inlineStr">
        <is>
          <t>Agar Tum Saath Ho (From "Tamasha")</t>
        </is>
      </c>
      <c r="D38" s="0" t="inlineStr">
        <is>
          <t>Alka Yagnik, Arijit Singh</t>
        </is>
      </c>
    </row>
    <row r="39">
      <c r="A39" s="0" t="inlineStr">
        <is>
          <t>2026-04-03</t>
        </is>
      </c>
      <c r="B39" s="0" t="n">
        <v>38</v>
      </c>
      <c r="C39" s="0" t="inlineStr">
        <is>
          <t>Mann Mera - Original Version</t>
        </is>
      </c>
      <c r="D39" s="0" t="inlineStr">
        <is>
          <t>Gajendra Verma</t>
        </is>
      </c>
    </row>
    <row r="40">
      <c r="A40" s="0" t="inlineStr">
        <is>
          <t>2026-04-03</t>
        </is>
      </c>
      <c r="B40" s="0" t="n">
        <v>39</v>
      </c>
      <c r="C40" s="0" t="inlineStr">
        <is>
          <t>Ye Tune Kya Kiya</t>
        </is>
      </c>
      <c r="D40" s="0" t="inlineStr">
        <is>
          <t>Pritam, Javed Bashir, Rajat Arora</t>
        </is>
      </c>
    </row>
    <row r="41">
      <c r="A41" s="0" t="inlineStr">
        <is>
          <t>2026-04-03</t>
        </is>
      </c>
      <c r="B41" s="0" t="n">
        <v>40</v>
      </c>
      <c r="C41" s="0" t="inlineStr">
        <is>
          <t>Main Aur Tu</t>
        </is>
      </c>
      <c r="D41" s="0" t="inlineStr">
        <is>
          <t>Shashwat Sachdev, Jasmine Sandlas, Reble</t>
        </is>
      </c>
    </row>
    <row r="42">
      <c r="A42" s="0" t="inlineStr">
        <is>
          <t>2026-04-03</t>
        </is>
      </c>
      <c r="B42" s="0" t="n">
        <v>41</v>
      </c>
      <c r="C42" s="0" t="inlineStr">
        <is>
          <t>Mutta Kalakki (From "Youth")</t>
        </is>
      </c>
      <c r="D42" s="0" t="inlineStr">
        <is>
          <t>G. V. Prakash, Ken Karunaas</t>
        </is>
      </c>
    </row>
    <row r="43">
      <c r="A43" s="0" t="inlineStr">
        <is>
          <t>2026-04-03</t>
        </is>
      </c>
      <c r="B43" s="0" t="n">
        <v>42</v>
      </c>
      <c r="C43" s="0" t="inlineStr">
        <is>
          <t>Ishq Jalakar - Karvaan</t>
        </is>
      </c>
      <c r="D43" s="0" t="inlineStr">
        <is>
          <t>Shashwat Sachdev, Shahzad Ali, Subhadeep Das Chowdhury, Armaan Khan, Irshad Kamil, Roshan, Sahir Ludhianvi</t>
        </is>
      </c>
    </row>
    <row r="44">
      <c r="A44" s="0" t="inlineStr">
        <is>
          <t>2026-04-03</t>
        </is>
      </c>
      <c r="B44" s="0" t="n">
        <v>43</v>
      </c>
      <c r="C44" s="0" t="inlineStr">
        <is>
          <t>Barbaad (From "Saiyaara")</t>
        </is>
      </c>
      <c r="D44" s="0" t="inlineStr">
        <is>
          <t>The Rish, Jubin Nautiyal</t>
        </is>
      </c>
    </row>
    <row r="45">
      <c r="A45" s="0" t="inlineStr">
        <is>
          <t>2026-04-03</t>
        </is>
      </c>
      <c r="B45" s="0" t="n">
        <v>44</v>
      </c>
      <c r="C45" s="0" t="inlineStr">
        <is>
          <t>Aaya Sher (From "The Paradise") (Telugu)</t>
        </is>
      </c>
      <c r="D45" s="0" t="inlineStr">
        <is>
          <t>Anirudh Ravichander, Jangi Reddy, Arjun Chandy, Kasarla Shyam</t>
        </is>
      </c>
    </row>
    <row r="46">
      <c r="A46" s="0" t="inlineStr">
        <is>
          <t>2026-04-03</t>
        </is>
      </c>
      <c r="B46" s="0" t="n">
        <v>45</v>
      </c>
      <c r="C46" s="0" t="inlineStr">
        <is>
          <t>Not Guilty</t>
        </is>
      </c>
      <c r="D46" s="0" t="inlineStr">
        <is>
          <t>Dhanda Nyoliwala</t>
        </is>
      </c>
    </row>
    <row r="47">
      <c r="A47" s="0" t="inlineStr">
        <is>
          <t>2026-04-03</t>
        </is>
      </c>
      <c r="B47" s="0" t="n">
        <v>46</v>
      </c>
      <c r="C47" s="0" t="inlineStr">
        <is>
          <t>Teri Deewani</t>
        </is>
      </c>
      <c r="D47" s="0" t="inlineStr">
        <is>
          <t>Kailash Kher, Paresh Kamath, Naresh Kamath</t>
        </is>
      </c>
    </row>
    <row r="48">
      <c r="A48" s="0" t="inlineStr">
        <is>
          <t>2026-04-03</t>
        </is>
      </c>
      <c r="B48" s="0" t="n">
        <v>47</v>
      </c>
      <c r="C48" s="0" t="inlineStr">
        <is>
          <t>Hum Pyaar Karne Wale</t>
        </is>
      </c>
      <c r="D48" s="0" t="inlineStr">
        <is>
          <t>Shashwat Sachdev, Anuradha Paudwal, Udit Narayan, Anand-Milind, Sameer Anjaan, Qveen Herby</t>
        </is>
      </c>
    </row>
    <row r="49">
      <c r="A49" s="0" t="inlineStr">
        <is>
          <t>2026-04-03</t>
        </is>
      </c>
      <c r="B49" s="0" t="n">
        <v>48</v>
      </c>
      <c r="C49" s="0" t="inlineStr">
        <is>
          <t>Ehsaas</t>
        </is>
      </c>
      <c r="D49" s="0" t="inlineStr">
        <is>
          <t>Faheem Abdullah, Duha Shah, Vaibhav Pani, Hyder Dar</t>
        </is>
      </c>
    </row>
    <row r="50">
      <c r="A50" s="0" t="inlineStr">
        <is>
          <t>2026-04-03</t>
        </is>
      </c>
      <c r="B50" s="0" t="n">
        <v>49</v>
      </c>
      <c r="C50" s="0" t="inlineStr">
        <is>
          <t>Vaari Jaavan</t>
        </is>
      </c>
      <c r="D50" s="0" t="inlineStr">
        <is>
          <t>Shashwat Sachdev, Jyoti Nooran, Jasmine Sandlas, Reble</t>
        </is>
      </c>
    </row>
    <row r="51">
      <c r="A51" s="0" t="inlineStr">
        <is>
          <t>2026-04-03</t>
        </is>
      </c>
      <c r="B51" s="0" t="n">
        <v>50</v>
      </c>
      <c r="C51" s="0" t="inlineStr">
        <is>
          <t>Mast Magan (From "2 States)</t>
        </is>
      </c>
      <c r="D51" s="0" t="inlineStr">
        <is>
          <t>Arijit Singh, Chinmayi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Date</t>
        </is>
      </c>
      <c r="B1" s="24" t="inlineStr">
        <is>
          <t>Rank</t>
        </is>
      </c>
      <c r="C1" s="24" t="inlineStr">
        <is>
          <t>Song</t>
        </is>
      </c>
      <c r="D1" s="24" t="inlineStr">
        <is>
          <t>Artist</t>
        </is>
      </c>
    </row>
    <row r="2">
      <c r="A2" t="inlineStr">
        <is>
          <t>2026-04-04</t>
        </is>
      </c>
      <c r="B2" t="n">
        <v>1</v>
      </c>
      <c r="C2" t="inlineStr">
        <is>
          <t>Bairan</t>
        </is>
      </c>
      <c r="D2" t="inlineStr">
        <is>
          <t>Banjaare</t>
        </is>
      </c>
    </row>
    <row r="3">
      <c r="A3" t="inlineStr">
        <is>
          <t>2026-04-04</t>
        </is>
      </c>
      <c r="B3" t="n">
        <v>2</v>
      </c>
      <c r="C3" t="inlineStr">
        <is>
          <t>Jaiye Sajana</t>
        </is>
      </c>
      <c r="D3" t="inlineStr">
        <is>
          <t>Shashwat Sachdev, Jasmine Sandlas, Satinder Sartaaj</t>
        </is>
      </c>
    </row>
    <row r="4">
      <c r="A4" t="inlineStr">
        <is>
          <t>2026-04-04</t>
        </is>
      </c>
      <c r="B4" t="n">
        <v>3</v>
      </c>
      <c r="C4" t="inlineStr">
        <is>
          <t>Gehra Hua</t>
        </is>
      </c>
      <c r="D4" t="inlineStr">
        <is>
          <t>Shashwat Sachdev, Arijit Singh, Irshad Kamil, Armaan Khan</t>
        </is>
      </c>
    </row>
    <row r="5">
      <c r="A5" t="inlineStr">
        <is>
          <t>2026-04-04</t>
        </is>
      </c>
      <c r="B5" t="n">
        <v>4</v>
      </c>
      <c r="C5" t="inlineStr">
        <is>
          <t>Sheesha - Aakhya Mai Aakh Ghali Jo Bairan</t>
        </is>
      </c>
      <c r="D5" t="inlineStr">
        <is>
          <t>Mitta Ror, Swara Verma</t>
        </is>
      </c>
    </row>
    <row r="6">
      <c r="A6" t="inlineStr">
        <is>
          <t>2026-04-04</t>
        </is>
      </c>
      <c r="B6" t="n">
        <v>5</v>
      </c>
      <c r="C6" t="inlineStr">
        <is>
          <t>Khat</t>
        </is>
      </c>
      <c r="D6" t="inlineStr">
        <is>
          <t>Navjot Ahuja</t>
        </is>
      </c>
    </row>
    <row r="7">
      <c r="A7" t="inlineStr">
        <is>
          <t>2026-04-04</t>
        </is>
      </c>
      <c r="B7" t="n">
        <v>6</v>
      </c>
      <c r="C7" t="inlineStr">
        <is>
          <t>Dhurandhar The Revenge - Aari Aari</t>
        </is>
      </c>
      <c r="D7" t="inlineStr">
        <is>
          <t>Shashwat Sachdev, Bombay Rockers, Irshad Kamil, Khan Saab, Reble, Token, Jasmine Sandlas, Sudhir Yaduvanshi</t>
        </is>
      </c>
    </row>
    <row r="8">
      <c r="A8" t="inlineStr">
        <is>
          <t>2026-04-04</t>
        </is>
      </c>
      <c r="B8" t="n">
        <v>7</v>
      </c>
      <c r="C8" t="inlineStr">
        <is>
          <t>Sahiba</t>
        </is>
      </c>
      <c r="D8" t="inlineStr">
        <is>
          <t>Aditya Rikhari</t>
        </is>
      </c>
    </row>
    <row r="9">
      <c r="A9" t="inlineStr">
        <is>
          <t>2026-04-04</t>
        </is>
      </c>
      <c r="B9" t="n">
        <v>8</v>
      </c>
      <c r="C9" t="inlineStr">
        <is>
          <t>Dooron Dooron</t>
        </is>
      </c>
      <c r="D9" t="inlineStr">
        <is>
          <t>Paresh Pahuja, Shiv Tandan, Meghdeep Bose</t>
        </is>
      </c>
    </row>
    <row r="10">
      <c r="A10" t="inlineStr">
        <is>
          <t>2026-04-04</t>
        </is>
      </c>
      <c r="B10" t="n">
        <v>9</v>
      </c>
      <c r="C10" t="inlineStr">
        <is>
          <t>Jaan Se Guzarte Hain</t>
        </is>
      </c>
      <c r="D10" t="inlineStr">
        <is>
          <t>Shashwat Sachdev, Khan Saab, Nusrat Fateh Ali Khan</t>
        </is>
      </c>
    </row>
    <row r="11">
      <c r="A11" t="inlineStr">
        <is>
          <t>2026-04-04</t>
        </is>
      </c>
      <c r="B11" t="n">
        <v>10</v>
      </c>
      <c r="C11" t="inlineStr">
        <is>
          <t>Apna Bana Le</t>
        </is>
      </c>
      <c r="D11" t="inlineStr">
        <is>
          <t>Sachin-Jigar, Arijit Singh, Amitabh Bhattacharya</t>
        </is>
      </c>
    </row>
    <row r="12">
      <c r="A12" t="inlineStr">
        <is>
          <t>2026-04-04</t>
        </is>
      </c>
      <c r="B12" t="n">
        <v>11</v>
      </c>
      <c r="C12" t="inlineStr">
        <is>
          <t>Samjhawan</t>
        </is>
      </c>
      <c r="D12" t="inlineStr">
        <is>
          <t>Jawad Ahmad, Shaarib Toshi, Arijit Singh, Shreya Ghoshal</t>
        </is>
      </c>
    </row>
    <row r="13">
      <c r="A13" t="inlineStr">
        <is>
          <t>2026-04-04</t>
        </is>
      </c>
      <c r="B13" t="n">
        <v>12</v>
      </c>
      <c r="C13" t="inlineStr">
        <is>
          <t>Sitaare (From "Ikkis")</t>
        </is>
      </c>
      <c r="D13" t="inlineStr">
        <is>
          <t>Arijit Singh, White Noise Collectives, Amitabh Bhattacharya</t>
        </is>
      </c>
    </row>
    <row r="14">
      <c r="A14" t="inlineStr">
        <is>
          <t>2026-04-04</t>
        </is>
      </c>
      <c r="B14" t="n">
        <v>13</v>
      </c>
      <c r="C14" t="inlineStr">
        <is>
          <t>Pavazha Malli - From "Think Indie"</t>
        </is>
      </c>
      <c r="D14" t="inlineStr">
        <is>
          <t>Sai Abhyankkar, Shruti Haasan, Vivek</t>
        </is>
      </c>
    </row>
    <row r="15">
      <c r="A15" t="inlineStr">
        <is>
          <t>2026-04-04</t>
        </is>
      </c>
      <c r="B15" t="n">
        <v>14</v>
      </c>
      <c r="C15" t="inlineStr">
        <is>
          <t>Finding Her</t>
        </is>
      </c>
      <c r="D15" t="inlineStr">
        <is>
          <t>Kushagra, Bharath, Saaheal</t>
        </is>
      </c>
    </row>
    <row r="16">
      <c r="A16" t="inlineStr">
        <is>
          <t>2026-04-04</t>
        </is>
      </c>
      <c r="B16" t="n">
        <v>15</v>
      </c>
      <c r="C16" t="inlineStr">
        <is>
          <t>Shararat</t>
        </is>
      </c>
      <c r="D16" t="inlineStr">
        <is>
          <t>Shashwat Sachdev, Madhubanti Bagchi, Jasmine Sandlas</t>
        </is>
      </c>
    </row>
    <row r="17">
      <c r="A17" t="inlineStr">
        <is>
          <t>2026-04-04</t>
        </is>
      </c>
      <c r="B17" t="n">
        <v>16</v>
      </c>
      <c r="C17" t="inlineStr">
        <is>
          <t>Dhurandhar - Title Track</t>
        </is>
      </c>
      <c r="D17" t="inlineStr">
        <is>
          <t>Shashwat Sachdev, Hanumankind, Jasmine Sandlas, Sudhir Yaduvanshi, Charanjit Ahuja, Muhammad Sadiq, Ranjit Kaur, Babu Singh Maan</t>
        </is>
      </c>
    </row>
    <row r="18">
      <c r="A18" t="inlineStr">
        <is>
          <t>2026-04-04</t>
        </is>
      </c>
      <c r="B18" t="n">
        <v>17</v>
      </c>
      <c r="C18" t="inlineStr">
        <is>
          <t>Arz Kiya Hai | Coke Studio Bharat</t>
        </is>
      </c>
      <c r="D18" t="inlineStr">
        <is>
          <t>Anuv Jain</t>
        </is>
      </c>
    </row>
    <row r="19">
      <c r="A19" t="inlineStr">
        <is>
          <t>2026-04-04</t>
        </is>
      </c>
      <c r="B19" t="n">
        <v>18</v>
      </c>
      <c r="C19" t="inlineStr">
        <is>
          <t>Boyfriend</t>
        </is>
      </c>
      <c r="D19" t="inlineStr">
        <is>
          <t>Karan Aujla, Ikky</t>
        </is>
      </c>
    </row>
    <row r="20">
      <c r="A20" t="inlineStr">
        <is>
          <t>2026-04-04</t>
        </is>
      </c>
      <c r="B20" t="n">
        <v>19</v>
      </c>
      <c r="C20" t="inlineStr">
        <is>
          <t>Ishq</t>
        </is>
      </c>
      <c r="D20" t="inlineStr">
        <is>
          <t>Faheem Abdullah, Rauhan Malik, Amir Ameer</t>
        </is>
      </c>
    </row>
    <row r="21">
      <c r="A21" t="inlineStr">
        <is>
          <t>2026-04-04</t>
        </is>
      </c>
      <c r="B21" t="n">
        <v>20</v>
      </c>
      <c r="C21" t="inlineStr">
        <is>
          <t>Mann Mera</t>
        </is>
      </c>
      <c r="D21" t="inlineStr">
        <is>
          <t>Gajendra Verma</t>
        </is>
      </c>
    </row>
    <row r="22">
      <c r="A22" t="inlineStr">
        <is>
          <t>2026-04-04</t>
        </is>
      </c>
      <c r="B22" t="n">
        <v>21</v>
      </c>
      <c r="C22" t="inlineStr">
        <is>
          <t>Saiyaara</t>
        </is>
      </c>
      <c r="D22" t="inlineStr">
        <is>
          <t>Tanishk Bagchi, Faheem Abdullah, Arslan Nizami, Irshad Kamil</t>
        </is>
      </c>
    </row>
    <row r="23">
      <c r="A23" t="inlineStr">
        <is>
          <t>2026-04-04</t>
        </is>
      </c>
      <c r="B23" t="n">
        <v>22</v>
      </c>
      <c r="C23" t="inlineStr">
        <is>
          <t>Ishqa Ve</t>
        </is>
      </c>
      <c r="D23" t="inlineStr">
        <is>
          <t>Zeeshan Ali, Yuvraj Tung, Sandeep Aulakh, Honey Dhillon</t>
        </is>
      </c>
    </row>
    <row r="24">
      <c r="A24" t="inlineStr">
        <is>
          <t>2026-04-04</t>
        </is>
      </c>
      <c r="B24" t="n">
        <v>23</v>
      </c>
      <c r="C24" t="inlineStr">
        <is>
          <t>For A Reason</t>
        </is>
      </c>
      <c r="D24" t="inlineStr">
        <is>
          <t>Karan Aujla, Ikky</t>
        </is>
      </c>
    </row>
    <row r="25">
      <c r="A25" t="inlineStr">
        <is>
          <t>2026-04-04</t>
        </is>
      </c>
      <c r="B25" t="n">
        <v>24</v>
      </c>
      <c r="C25" t="inlineStr">
        <is>
          <t>Tere Bina</t>
        </is>
      </c>
      <c r="D25" t="inlineStr">
        <is>
          <t>A.R. Rahman, Chinmayi, Murtuza Khan, Qadir Khan</t>
        </is>
      </c>
    </row>
    <row r="26">
      <c r="A26" t="inlineStr">
        <is>
          <t>2026-04-04</t>
        </is>
      </c>
      <c r="B26" t="n">
        <v>25</v>
      </c>
      <c r="C26" t="inlineStr">
        <is>
          <t>Naal Nachna</t>
        </is>
      </c>
      <c r="D26" t="inlineStr">
        <is>
          <t>Shashwat Sachdev, Afsana Khan, Irshad Kamil, Reble</t>
        </is>
      </c>
    </row>
    <row r="27">
      <c r="A27" t="inlineStr">
        <is>
          <t>2026-04-04</t>
        </is>
      </c>
      <c r="B27" t="n">
        <v>26</v>
      </c>
      <c r="C27" t="inlineStr">
        <is>
          <t>Bairi</t>
        </is>
      </c>
      <c r="D27" t="inlineStr">
        <is>
          <t>Virat, Pradeep Solanki, Heena</t>
        </is>
      </c>
    </row>
    <row r="28">
      <c r="A28" t="inlineStr">
        <is>
          <t>2026-04-04</t>
        </is>
      </c>
      <c r="B28" t="n">
        <v>27</v>
      </c>
      <c r="C28" t="inlineStr">
        <is>
          <t>Run Down The City - Monica</t>
        </is>
      </c>
      <c r="D28" t="inlineStr">
        <is>
          <t>Shashwat Sachdev, Reble, Asha Bhosle, R. D. Burman, Majrooh Sultanpuri</t>
        </is>
      </c>
    </row>
    <row r="29">
      <c r="A29" t="inlineStr">
        <is>
          <t>2026-04-04</t>
        </is>
      </c>
      <c r="B29" t="n">
        <v>28</v>
      </c>
      <c r="C29" t="inlineStr">
        <is>
          <t>Phir Se</t>
        </is>
      </c>
      <c r="D29" t="inlineStr">
        <is>
          <t>Shashwat Sachdev, Arijit Singh, Irshad Kamil</t>
        </is>
      </c>
    </row>
    <row r="30">
      <c r="A30" t="inlineStr">
        <is>
          <t>2026-04-04</t>
        </is>
      </c>
      <c r="B30" t="n">
        <v>29</v>
      </c>
      <c r="C30" t="inlineStr">
        <is>
          <t>Deewaana Deewaana</t>
        </is>
      </c>
      <c r="D30" t="inlineStr">
        <is>
          <t>A.R. Rahman, Irshad Kamil</t>
        </is>
      </c>
    </row>
    <row r="31">
      <c r="A31" t="inlineStr">
        <is>
          <t>2026-04-04</t>
        </is>
      </c>
      <c r="B31" t="n">
        <v>30</v>
      </c>
      <c r="C31" t="inlineStr">
        <is>
          <t>Tere Liye</t>
        </is>
      </c>
      <c r="D31" t="inlineStr">
        <is>
          <t>Atif Aslam, Shreya Ghoshal, Sachin Gupta, Sameer Anjaan</t>
        </is>
      </c>
    </row>
    <row r="32">
      <c r="A32" t="inlineStr">
        <is>
          <t>2026-04-04</t>
        </is>
      </c>
      <c r="B32" t="n">
        <v>31</v>
      </c>
      <c r="C32" t="inlineStr">
        <is>
          <t>Raanjhan (From "Do Patti")</t>
        </is>
      </c>
      <c r="D32" t="inlineStr">
        <is>
          <t>Sachet-Parampara, Parampara Tandon, Kausar Munir</t>
        </is>
      </c>
    </row>
    <row r="33">
      <c r="A33" t="inlineStr">
        <is>
          <t>2026-04-04</t>
        </is>
      </c>
      <c r="B33" t="n">
        <v>32</v>
      </c>
      <c r="C33" t="inlineStr">
        <is>
          <t>Jo Tum Mere Ho</t>
        </is>
      </c>
      <c r="D33" t="inlineStr">
        <is>
          <t>Anuv Jain</t>
        </is>
      </c>
    </row>
    <row r="34">
      <c r="A34" t="inlineStr">
        <is>
          <t>2026-04-04</t>
        </is>
      </c>
      <c r="B34" t="n">
        <v>33</v>
      </c>
      <c r="C34" t="inlineStr">
        <is>
          <t>Tum Ho Toh (From "Saiyaara")</t>
        </is>
      </c>
      <c r="D34" t="inlineStr">
        <is>
          <t>Vishal Mishra, Hansika Pareek, Raj Shekhar</t>
        </is>
      </c>
    </row>
    <row r="35">
      <c r="A35" t="inlineStr">
        <is>
          <t>2026-04-04</t>
        </is>
      </c>
      <c r="B35" t="n">
        <v>34</v>
      </c>
      <c r="C35" t="inlineStr">
        <is>
          <t>Haseen</t>
        </is>
      </c>
      <c r="D35" t="inlineStr">
        <is>
          <t>Talwiinder, NDS, Rippy Grewal</t>
        </is>
      </c>
    </row>
    <row r="36">
      <c r="A36" t="inlineStr">
        <is>
          <t>2026-04-04</t>
        </is>
      </c>
      <c r="B36" t="n">
        <v>35</v>
      </c>
      <c r="C36" t="inlineStr">
        <is>
          <t>Darkhaast</t>
        </is>
      </c>
      <c r="D36" t="inlineStr">
        <is>
          <t>Mithoon, Arijit Singh, Sunidhi Chauhan, Sayeed Quadri</t>
        </is>
      </c>
    </row>
    <row r="37">
      <c r="A37" t="inlineStr">
        <is>
          <t>2026-04-04</t>
        </is>
      </c>
      <c r="B37" t="n">
        <v>36</v>
      </c>
      <c r="C37" t="inlineStr">
        <is>
          <t>Lutt Le Gaya</t>
        </is>
      </c>
      <c r="D37" t="inlineStr">
        <is>
          <t>Shashwat Sachdev, Simran Choudhary</t>
        </is>
      </c>
    </row>
    <row r="38">
      <c r="A38" t="inlineStr">
        <is>
          <t>2026-04-04</t>
        </is>
      </c>
      <c r="B38" t="n">
        <v>37</v>
      </c>
      <c r="C38" t="inlineStr">
        <is>
          <t>Ye Tune Kya Kiya</t>
        </is>
      </c>
      <c r="D38" t="inlineStr">
        <is>
          <t>Pritam, Javed Bashir, Rajat Arora</t>
        </is>
      </c>
    </row>
    <row r="39">
      <c r="A39" t="inlineStr">
        <is>
          <t>2026-04-04</t>
        </is>
      </c>
      <c r="B39" t="n">
        <v>38</v>
      </c>
      <c r="C39" t="inlineStr">
        <is>
          <t>Mann Mera - Original Version</t>
        </is>
      </c>
      <c r="D39" t="inlineStr">
        <is>
          <t>Gajendra Verma</t>
        </is>
      </c>
    </row>
    <row r="40">
      <c r="A40" t="inlineStr">
        <is>
          <t>2026-04-04</t>
        </is>
      </c>
      <c r="B40" t="n">
        <v>39</v>
      </c>
      <c r="C40" t="inlineStr">
        <is>
          <t>Agar Tum Saath Ho (From "Tamasha")</t>
        </is>
      </c>
      <c r="D40" t="inlineStr">
        <is>
          <t>Alka Yagnik, Arijit Singh</t>
        </is>
      </c>
    </row>
    <row r="41">
      <c r="A41" t="inlineStr">
        <is>
          <t>2026-04-04</t>
        </is>
      </c>
      <c r="B41" t="n">
        <v>40</v>
      </c>
      <c r="C41" t="inlineStr">
        <is>
          <t>Ishq Jalakar - Karvaan</t>
        </is>
      </c>
      <c r="D41" t="inlineStr">
        <is>
          <t>Shashwat Sachdev, Shahzad Ali, Subhadeep Das Chowdhury, Armaan Khan, Irshad Kamil, Roshan, Sahir Ludhianvi</t>
        </is>
      </c>
    </row>
    <row r="42">
      <c r="A42" t="inlineStr">
        <is>
          <t>2026-04-04</t>
        </is>
      </c>
      <c r="B42" t="n">
        <v>41</v>
      </c>
      <c r="C42" t="inlineStr">
        <is>
          <t>Mutta Kalakki (From "Youth")</t>
        </is>
      </c>
      <c r="D42" t="inlineStr">
        <is>
          <t>G. V. Prakash, Ken Karunaas</t>
        </is>
      </c>
    </row>
    <row r="43">
      <c r="A43" t="inlineStr">
        <is>
          <t>2026-04-04</t>
        </is>
      </c>
      <c r="B43" t="n">
        <v>42</v>
      </c>
      <c r="C43" t="inlineStr">
        <is>
          <t>Teri Deewani</t>
        </is>
      </c>
      <c r="D43" t="inlineStr">
        <is>
          <t>Kailash Kher, Paresh Kamath, Naresh Kamath</t>
        </is>
      </c>
    </row>
    <row r="44">
      <c r="A44" t="inlineStr">
        <is>
          <t>2026-04-04</t>
        </is>
      </c>
      <c r="B44" t="n">
        <v>43</v>
      </c>
      <c r="C44" t="inlineStr">
        <is>
          <t>Barbaad (From "Saiyaara")</t>
        </is>
      </c>
      <c r="D44" t="inlineStr">
        <is>
          <t>The Rish, Jubin Nautiyal</t>
        </is>
      </c>
    </row>
    <row r="45">
      <c r="A45" t="inlineStr">
        <is>
          <t>2026-04-04</t>
        </is>
      </c>
      <c r="B45" t="n">
        <v>44</v>
      </c>
      <c r="C45" t="inlineStr">
        <is>
          <t>Main Aur Tu</t>
        </is>
      </c>
      <c r="D45" t="inlineStr">
        <is>
          <t>Shashwat Sachdev, Jasmine Sandlas, Reble</t>
        </is>
      </c>
    </row>
    <row r="46">
      <c r="A46" t="inlineStr">
        <is>
          <t>2026-04-04</t>
        </is>
      </c>
      <c r="B46" t="n">
        <v>45</v>
      </c>
      <c r="C46" t="inlineStr">
        <is>
          <t>Ehsaas</t>
        </is>
      </c>
      <c r="D46" t="inlineStr">
        <is>
          <t>Faheem Abdullah, Duha Shah, Vaibhav Pani, Hyder Dar</t>
        </is>
      </c>
    </row>
    <row r="47">
      <c r="A47" t="inlineStr">
        <is>
          <t>2026-04-04</t>
        </is>
      </c>
      <c r="B47" t="n">
        <v>46</v>
      </c>
      <c r="C47" t="inlineStr">
        <is>
          <t>Aaya Sher (From "The Paradise") (Telugu)</t>
        </is>
      </c>
      <c r="D47" t="inlineStr">
        <is>
          <t>Anirudh Ravichander, Jangi Reddy, Arjun Chandy, Kasarla Shyam</t>
        </is>
      </c>
    </row>
    <row r="48">
      <c r="A48" t="inlineStr">
        <is>
          <t>2026-04-04</t>
        </is>
      </c>
      <c r="B48" t="n">
        <v>47</v>
      </c>
      <c r="C48" t="inlineStr">
        <is>
          <t>Not Guilty</t>
        </is>
      </c>
      <c r="D48" t="inlineStr">
        <is>
          <t>Dhanda Nyoliwala</t>
        </is>
      </c>
    </row>
    <row r="49">
      <c r="A49" t="inlineStr">
        <is>
          <t>2026-04-04</t>
        </is>
      </c>
      <c r="B49" t="n">
        <v>48</v>
      </c>
      <c r="C49" t="inlineStr">
        <is>
          <t>Mast Magan (From "2 States)</t>
        </is>
      </c>
      <c r="D49" t="inlineStr">
        <is>
          <t>Arijit Singh, Chinmayi</t>
        </is>
      </c>
    </row>
    <row r="50">
      <c r="A50" t="inlineStr">
        <is>
          <t>2026-04-04</t>
        </is>
      </c>
      <c r="B50" t="n">
        <v>49</v>
      </c>
      <c r="C50" t="inlineStr">
        <is>
          <t>Thodi Si Daaru</t>
        </is>
      </c>
      <c r="D50" t="inlineStr">
        <is>
          <t>AP Dhillon, Shreya Ghoshal</t>
        </is>
      </c>
    </row>
    <row r="51">
      <c r="A51" t="inlineStr">
        <is>
          <t>2026-04-04</t>
        </is>
      </c>
      <c r="B51" t="n">
        <v>50</v>
      </c>
      <c r="C51" t="inlineStr">
        <is>
          <t>Zaalima</t>
        </is>
      </c>
      <c r="D51" t="inlineStr">
        <is>
          <t>Arijit Singh, Harshdeep Kaur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2026-03-25T16:51:36Z</dcterms:created>
  <dcterms:modified xsi:type="dcterms:W3CDTF">2026-04-06T05:27:18Z</dcterms:modified>
</cp:coreProperties>
</file>